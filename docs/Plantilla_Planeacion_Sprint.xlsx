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Taller Nº 5 - Sprint Planning\"/>
    </mc:Choice>
  </mc:AlternateContent>
  <xr:revisionPtr revIDLastSave="0" documentId="8_{2E3A4973-E118-4146-B48A-59746DA4A955}" xr6:coauthVersionLast="47" xr6:coauthVersionMax="47" xr10:uidLastSave="{00000000-0000-0000-0000-000000000000}"/>
  <bookViews>
    <workbookView xWindow="-19320" yWindow="-5820" windowWidth="19440" windowHeight="10320" firstSheet="6" activeTab="6" xr2:uid="{00000000-000D-0000-FFFF-FFFF00000000}"/>
  </bookViews>
  <sheets>
    <sheet name="Epicas" sheetId="6" r:id="rId1"/>
    <sheet name="Product Backlog" sheetId="1" r:id="rId2"/>
    <sheet name="Product Backlog - Destacadas" sheetId="15" state="hidden" r:id="rId3"/>
    <sheet name="Capacidad y Velocidad Equipo" sheetId="4" r:id="rId4"/>
    <sheet name="Sprint Backlog - Antiguo" sheetId="2" state="hidden" r:id="rId5"/>
    <sheet name="Sprint Backlog - 27-06-25" sheetId="12" state="hidden" r:id="rId6"/>
    <sheet name="Sprint Backlog" sheetId="14" r:id="rId7"/>
    <sheet name="Tareas X Sprint - Antiguo" sheetId="3" state="hidden" r:id="rId8"/>
    <sheet name="Tareas X Sprint 27-06-25" sheetId="13" state="hidden" r:id="rId9"/>
    <sheet name="Tareas X Sprint" sheetId="17" r:id="rId10"/>
    <sheet name="Cronograma estimado por sprints" sheetId="18" r:id="rId11"/>
    <sheet name="BurnDown Chart" sheetId="9" r:id="rId12"/>
    <sheet name="BurnDown Chart anotaciones" sheetId="7" state="hidden" r:id="rId13"/>
    <sheet name="Daily Scrum" sheetId="8" r:id="rId14"/>
    <sheet name="Sprint Review" sheetId="10" r:id="rId15"/>
    <sheet name="Sprint Retrospective" sheetId="11" r:id="rId16"/>
  </sheets>
  <definedNames>
    <definedName name="_xlnm._FilterDatabase" localSheetId="1" hidden="1">'Product Backlog'!$A$1:$F$59</definedName>
    <definedName name="_xlnm._FilterDatabase" localSheetId="2" hidden="1">'Product Backlog - Destacadas'!$A$1:$F$59</definedName>
    <definedName name="_xlnm._FilterDatabase" localSheetId="9" hidden="1">'Tareas X Sprint'!$D$2:$E$31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17" l="1"/>
  <c r="G377" i="17"/>
  <c r="G371" i="17"/>
  <c r="G365" i="17"/>
  <c r="G359" i="17"/>
  <c r="G353" i="17"/>
  <c r="G345" i="17"/>
  <c r="G339" i="17"/>
  <c r="G333" i="17"/>
  <c r="G327" i="17"/>
  <c r="G321" i="17"/>
  <c r="G315" i="17"/>
  <c r="G307" i="17"/>
  <c r="G301" i="17"/>
  <c r="G295" i="17"/>
  <c r="G287" i="17"/>
  <c r="G281" i="17"/>
  <c r="G275" i="17"/>
  <c r="G269" i="17"/>
  <c r="G263" i="17"/>
  <c r="G257" i="17"/>
  <c r="G249" i="17"/>
  <c r="G243" i="17"/>
  <c r="G237" i="17"/>
  <c r="G231" i="17"/>
  <c r="G225" i="17"/>
  <c r="G219" i="17"/>
  <c r="G213" i="17"/>
  <c r="G205" i="17"/>
  <c r="G199" i="17"/>
  <c r="G193" i="17"/>
  <c r="G187" i="17"/>
  <c r="G181" i="17"/>
  <c r="G173" i="17"/>
  <c r="G167" i="17"/>
  <c r="G161" i="17"/>
  <c r="G155" i="17"/>
  <c r="G149" i="17"/>
  <c r="G141" i="17"/>
  <c r="G135" i="17"/>
  <c r="G129" i="17"/>
  <c r="G123" i="17"/>
  <c r="G117" i="17"/>
  <c r="G111" i="17"/>
  <c r="G105" i="17"/>
  <c r="G91" i="17"/>
  <c r="G85" i="17"/>
  <c r="G79" i="17"/>
  <c r="G73" i="17"/>
  <c r="G67" i="17"/>
  <c r="G59" i="17"/>
  <c r="G53" i="17"/>
  <c r="G47" i="17"/>
  <c r="G41" i="17"/>
  <c r="G35" i="17"/>
  <c r="G27" i="17"/>
  <c r="G21" i="17"/>
  <c r="G15" i="17"/>
  <c r="G9" i="17"/>
  <c r="G3" i="17"/>
  <c r="G27" i="13"/>
  <c r="G24" i="12"/>
  <c r="G34" i="14"/>
  <c r="G42" i="14"/>
  <c r="G50" i="14"/>
  <c r="G59" i="14"/>
  <c r="G68" i="14"/>
  <c r="G83" i="14"/>
  <c r="G74" i="14"/>
  <c r="G91" i="14"/>
  <c r="G24" i="14"/>
  <c r="G15" i="14"/>
  <c r="G7" i="14"/>
  <c r="G59" i="12"/>
  <c r="G74" i="12"/>
  <c r="G365" i="13"/>
  <c r="G359" i="13"/>
  <c r="G353" i="13"/>
  <c r="G345" i="13"/>
  <c r="G339" i="13"/>
  <c r="G333" i="13"/>
  <c r="G327" i="13"/>
  <c r="G321" i="13"/>
  <c r="G315" i="13"/>
  <c r="G309" i="13"/>
  <c r="G301" i="13"/>
  <c r="G295" i="13"/>
  <c r="G289" i="13"/>
  <c r="G281" i="13"/>
  <c r="G275" i="13"/>
  <c r="G269" i="13"/>
  <c r="G263" i="13"/>
  <c r="G257" i="13"/>
  <c r="G251" i="13"/>
  <c r="G243" i="13"/>
  <c r="G237" i="13"/>
  <c r="G231" i="13"/>
  <c r="G225" i="13"/>
  <c r="G219" i="13"/>
  <c r="G213" i="13"/>
  <c r="G205" i="13"/>
  <c r="G199" i="13"/>
  <c r="G193" i="13"/>
  <c r="G187" i="13"/>
  <c r="G181" i="13"/>
  <c r="G175" i="13"/>
  <c r="G167" i="13"/>
  <c r="G161" i="13"/>
  <c r="G155" i="13"/>
  <c r="G149" i="13"/>
  <c r="G143" i="13"/>
  <c r="G135" i="13"/>
  <c r="G129" i="13"/>
  <c r="G123" i="13"/>
  <c r="G117" i="13"/>
  <c r="G111" i="13"/>
  <c r="G105" i="13"/>
  <c r="G97" i="13"/>
  <c r="G91" i="13"/>
  <c r="G85" i="13"/>
  <c r="G79" i="13"/>
  <c r="G73" i="13"/>
  <c r="G67" i="13"/>
  <c r="G59" i="13"/>
  <c r="G53" i="13"/>
  <c r="G47" i="13"/>
  <c r="G41" i="13"/>
  <c r="G35" i="13"/>
  <c r="G21" i="13"/>
  <c r="G15" i="13"/>
  <c r="G9" i="13"/>
  <c r="G3" i="13"/>
  <c r="G90" i="12"/>
  <c r="G68" i="12"/>
  <c r="G50" i="12"/>
  <c r="G41" i="12"/>
  <c r="G33" i="12"/>
  <c r="G84" i="12"/>
  <c r="G15" i="12"/>
  <c r="G7" i="12"/>
  <c r="G3" i="3"/>
  <c r="E3" i="9"/>
  <c r="C4" i="9"/>
  <c r="C3" i="9"/>
  <c r="C5" i="9"/>
  <c r="D3" i="9"/>
  <c r="G364" i="3"/>
  <c r="G358" i="3"/>
  <c r="G352" i="3"/>
  <c r="G346" i="3"/>
  <c r="G338" i="3"/>
  <c r="G333" i="3"/>
  <c r="G327" i="3"/>
  <c r="G321" i="3"/>
  <c r="G315" i="3"/>
  <c r="G309" i="3"/>
  <c r="G303" i="3"/>
  <c r="G295" i="3"/>
  <c r="G289" i="3"/>
  <c r="G283" i="3"/>
  <c r="G277" i="3"/>
  <c r="G271" i="3"/>
  <c r="G263" i="3"/>
  <c r="G257" i="3"/>
  <c r="G251" i="3"/>
  <c r="G245" i="3"/>
  <c r="G237" i="3"/>
  <c r="G231" i="3"/>
  <c r="G225" i="3"/>
  <c r="G219" i="3"/>
  <c r="G211" i="3"/>
  <c r="G205" i="3"/>
  <c r="G199" i="3"/>
  <c r="G193" i="3"/>
  <c r="G185" i="3"/>
  <c r="G179" i="3"/>
  <c r="G173" i="3"/>
  <c r="G167" i="3"/>
  <c r="G161" i="3"/>
  <c r="G155" i="3"/>
  <c r="G149" i="3"/>
  <c r="G143" i="3"/>
  <c r="G137" i="3"/>
  <c r="G129" i="3"/>
  <c r="G123" i="3"/>
  <c r="G117" i="3"/>
  <c r="G111" i="3"/>
  <c r="G105" i="3"/>
  <c r="G97" i="3"/>
  <c r="G91" i="3"/>
  <c r="G85" i="3"/>
  <c r="G79" i="3"/>
  <c r="G73" i="3"/>
  <c r="G67" i="3"/>
  <c r="G59" i="3"/>
  <c r="G53" i="3"/>
  <c r="G47" i="3"/>
  <c r="G41" i="3"/>
  <c r="G35" i="3"/>
  <c r="G27" i="3"/>
  <c r="G21" i="3"/>
  <c r="G15" i="3"/>
  <c r="G9" i="3"/>
  <c r="G7" i="2"/>
  <c r="G15" i="2"/>
  <c r="G24" i="2"/>
  <c r="G32" i="2"/>
  <c r="G44" i="2"/>
  <c r="G51" i="2"/>
  <c r="G58" i="2"/>
  <c r="G65" i="2"/>
  <c r="G73" i="2"/>
  <c r="G90" i="2"/>
  <c r="G83" i="2"/>
  <c r="C6" i="9"/>
  <c r="C7" i="9"/>
  <c r="G2" i="7"/>
  <c r="E3" i="7"/>
  <c r="E4" i="7"/>
  <c r="E5" i="7"/>
  <c r="E6" i="7"/>
  <c r="E2" i="4"/>
  <c r="E3" i="4"/>
  <c r="F3" i="4"/>
  <c r="E4" i="4"/>
  <c r="F4" i="4"/>
  <c r="E5" i="4"/>
  <c r="F5" i="4"/>
  <c r="F2" i="4"/>
  <c r="F6" i="4"/>
  <c r="F7" i="4"/>
</calcChain>
</file>

<file path=xl/sharedStrings.xml><?xml version="1.0" encoding="utf-8"?>
<sst xmlns="http://schemas.openxmlformats.org/spreadsheetml/2006/main" count="5661" uniqueCount="926">
  <si>
    <t>Épica</t>
  </si>
  <si>
    <t>ID HU</t>
  </si>
  <si>
    <t>Nombre</t>
  </si>
  <si>
    <t xml:space="preserve">Enunciado de la Historia de Usuario </t>
  </si>
  <si>
    <t>Criterios de Aceptación</t>
  </si>
  <si>
    <t>Formulario de registro</t>
  </si>
  <si>
    <t>HU09</t>
  </si>
  <si>
    <t>Registro de nuevo usuario</t>
  </si>
  <si>
    <t>Como paciente 
Quiero registrarme mediante un formulario que solicite mis datos personales y de   contacto, incluyendo aceptación de términos y condiciones 
Para poder acceder al sistema con una cuenta propia.</t>
  </si>
  <si>
    <t>- El formulario debe solicitar como mínimo: tipo y número de documento, nombre, apellido, teléfono, género, correo electrónico, contraseña y confirmación de contraseña.
- El botón de "Registrarme" debe estar deshabilitado hasta que todos los campos obligatorios estén diligenciados y se acepten los términos y condiciones.
- El usuario debe marcar la casilla de aceptación de términos y condiciones para completar el registro. 
- Una vez registrado, el paciente es redirigido automáticamente a la página de inicio de sesión o a su panel principal. 
- Debe haber un enlace claramente visible con el texto “¿Ya tienes una cuenta? Inicia sesión”.  
- Al hacer clic en el enlace, debe redirigirme correctamente al formulario de inicio de sesión. 
- Cada campo debe mostrar retroalimentación inmediata si el valor ingresado no cumple con el formato esperado (por ejemplo, correo mal escrito).  
- Los mensajes de error deben ser claros y específicos para cada campo.
- No se permite enviar el formulario si hay errores de validación sin corregir, y se le indica al usuario qué campos debe revisar. 
- La contraseña debe tener mínimo 8 caracteres, al menos una mayúscula, un número y un símbolo.
- Si no cumple con los requisitos, debe mostrarse un mensaje de advertencia y no permitir el registro</t>
  </si>
  <si>
    <t>las epicas son como grandes metas de negocio o volumenes de trabajo las cuales contienen una o varias historias de usuario</t>
  </si>
  <si>
    <t>Formulario de inicio de sesion</t>
  </si>
  <si>
    <t>HU12</t>
  </si>
  <si>
    <t>Acceder con cuenta existente</t>
  </si>
  <si>
    <t>Como paciente 
Quiero poder iniciar sesión en el sistema utilizando mi correo y mi  
contraseña 
Para acceder a mi perfil y funcionalidades del sistema médico.</t>
  </si>
  <si>
    <t>− El formulario debe aceptar como identificador el correo electrónico o el número 
de teléfono registrado.  
− Si las credenciales son correctas, el usuario debe ser redirigido automáticamente al 
panel principal del sistema. 
− Si las credenciales son correctas, el paciente es redirigido a su panel principal.</t>
  </si>
  <si>
    <t>HU13</t>
  </si>
  <si>
    <t>Recuperación de contraseña</t>
  </si>
  <si>
    <t>Como paciente 
Quiero contar con una opción para recuperar mi contraseña en caso de olvidarla 
Para poder restablecer mi acceso al sistema.</t>
  </si>
  <si>
    <t>− Debe haber un enlace visible (ej. "¿Olvidaste tu contraseña?") en la pantalla de 
inicio de sesión. 
− Debe haber un enlace visible con el texto “¿Olvidaste tu contraseña?” en el 
formulario de inicio de sesión.  
− Al ingresar un correo registrado, el sistema debe enviar un correo con 
instrucciones para restablecer la contraseña. 
− El enlace/código debe tener una caducidad por seguridad.</t>
  </si>
  <si>
    <t>HU11</t>
  </si>
  <si>
    <t>Notificación por error del servidor en inicio de sesión</t>
  </si>
  <si>
    <t xml:space="preserve">Como paciente 
Quiero recibir un mensaje claro si al intentar iniciar sesión el servidor está caído o 
hay un problema técnico 
Para saber que el error no es mío.  </t>
  </si>
  <si>
    <t xml:space="preserve">− Si hay error del servidor (código 500 o similar), debe mostrarse un mensaje como 
“Servicio no disponible, por favor intenta más tarde”.  
− El sistema no debe eliminar los datos ingresados en el formulario al producirse el 
error. </t>
  </si>
  <si>
    <t>Validaciones de formularios</t>
  </si>
  <si>
    <t>HU10</t>
  </si>
  <si>
    <t>Alerta por correo duplicado en registro</t>
  </si>
  <si>
    <t xml:space="preserve">Como paciente 
Quiero ser notificado si intento registrar una cuenta con un correo ya existente 
Para saber que debo iniciar sesión en lugar de crear una nueva cuenta.  </t>
  </si>
  <si>
    <t xml:space="preserve">− Si el correo ya está registrado, debe mostrarse un mensaje como “Este correo ya 
está vinculado a una cuenta. ¿Deseas iniciar sesión?”.  
− El sistema debe bloquear el registro hasta que se ingrese un correo no registrado. </t>
  </si>
  <si>
    <t>Menu</t>
  </si>
  <si>
    <t>HU01</t>
  </si>
  <si>
    <t>Menú de navegación clara</t>
  </si>
  <si>
    <t>Como paciente 
Quiero que el sistema tenga categorías claras en el menú
Para poder navegar fácilmente sin perderme.</t>
  </si>
  <si>
    <t>− El menú debe estar visible en todo momento mientras el usuario navega. 
− Cada opción del menú debe redirigir correctamente a la sección correspondiente.
− Deben existir las categorías</t>
  </si>
  <si>
    <t>Panel principal</t>
  </si>
  <si>
    <t>HU02</t>
  </si>
  <si>
    <t>Panel de resumen del paciente</t>
  </si>
  <si>
    <t>Como paciente 
Quiero ver un panel principal con un resumen de mis próximas citas,  
indicaciones médicas y notificaciones recientes 
Para tener un panorama general desde que ingreso al sistema.</t>
  </si>
  <si>
    <t>− El resumen debe incluir al menos: fecha y hora de la próxima cita, últimas 
indicaciones, y las tres notificaciones más recientes. 
− Debe mostrarse automáticamente al ingresar al sistema sin necesidad de navegar a 
otra sección.
− Las notificaciones recientes (ej. recordatorios de citas, actualizaciones) son 
visibles en el panel principal.
− El panel carga toda la información en menos de 3 segundos.</t>
  </si>
  <si>
    <t>HU03</t>
  </si>
  <si>
    <t>Panel diario del médico</t>
  </si>
  <si>
    <t xml:space="preserve">Como médico 
Quiero contar con un panel donde pueda visualizar mis citas del día y  
acceder al historial médico de cada paciente agendado 
Para preparar mejor mi jornada laboral. </t>
  </si>
  <si>
    <t>− El panel debe mostrar las citas ordenadas por hora.  
− Cada cita debe permitir acceso rápido al historial médico del paciente. 
− El historial médico del paciente debe incluir citas previas, diagnósticos, 
indicaciones y medicamentos recetados. 
− El panel del médico se actualiza en tiempo real con nuevas citas o cancelaciones.</t>
  </si>
  <si>
    <t>Pie de pagina</t>
  </si>
  <si>
    <t>HU58</t>
  </si>
  <si>
    <t>Mostrar pie de página con información esencial en cada sección</t>
  </si>
  <si>
    <t>Como paciente 
Quiero que en cada sección del sistema se muestre un pie de página con la  
información esencial de la institución Para tener a la mano datos importantes sin importar dónde esté en el sistema.</t>
  </si>
  <si>
    <t>− El pie de página se muestra de forma consistente en todas las secciones del 
sistema.
− Contiene datos básicos como el nombre de la institución, año y derechos 
reservados.</t>
  </si>
  <si>
    <t>Gestión de Notificaciones</t>
  </si>
  <si>
    <t>HU41</t>
  </si>
  <si>
    <t>Recibir recordatorio de cita próxima</t>
  </si>
  <si>
    <t>Como paciente 
Quiero recibir una alerta cuando tenga una cita cercana (por ejemplo, un día antes), 
Para no olvidarla.</t>
  </si>
  <si>
    <t>- El sistema debe enviar una notificación (por correo o dentro de la plataforma) 24 
horas antes de la cita.
− Si el paciente tiene la app móvil o el navegador habilitado, también debe 
mostrarse una notificación push</t>
  </si>
  <si>
    <t>HU54</t>
  </si>
  <si>
    <t>Acceder en todo momento a las notificaciones</t>
  </si>
  <si>
    <t xml:space="preserve">Como paciente 
Quiero tener una opción visible en todo momento para acceder a mis notificaciones, 
Para estar informado de cualquier novedad del sistema.  </t>
  </si>
  <si>
    <t xml:space="preserve"> - El icono de notificaciones es visible en todas las pantallas del sistema mientras el 
paciente esté autenticado.
− Al hacer clic en el icono, se despliega una lista de notificaciones recientes.</t>
  </si>
  <si>
    <t>HU55</t>
  </si>
  <si>
    <t>Ver información detallada o redirección desde la notificación</t>
  </si>
  <si>
    <t xml:space="preserve">Como paciente 
Quiero poder ver en detalle la información de cada notificación o que me redirija a la 
sección relacionada 
Para comprender mejor su contenido.   </t>
  </si>
  <si>
    <t>− Al hacer clic en una notificación, el sistema muestra información detallada o 
redirige automáticamente a la sección relacionada.
− La notificación se marca como leída después de haber sido visualizada o 
redirigida.</t>
  </si>
  <si>
    <t>HU56</t>
  </si>
  <si>
    <t>Eliminar una notificación individual</t>
  </si>
  <si>
    <t xml:space="preserve">Como paciente 
Quiero tener una opción para eliminar notificaciones individuales (por ejemplo, con 
un ícono de bote de basura) 
Para mantener limpia mi bandeja de notificaciones.   </t>
  </si>
  <si>
    <t>- Cada notificación cuenta con un ícono visible (como una papelera) para 
eliminarla.
− Al eliminarla, el sistema actualiza la lista y muestra un mensaje de confirmación.</t>
  </si>
  <si>
    <t>HU57</t>
  </si>
  <si>
    <t>Eliminar todas las notificaciones en una sola acción</t>
  </si>
  <si>
    <t xml:space="preserve">Como paciente 
Quiero tener una opción para eliminar todas mis notificaciones de una sola vez 
Para ahorrar tiempo y evitar hacerlo una por una.  </t>
  </si>
  <si>
    <t>− El paciente puede hacer clic en un botón “Eliminar todas” para borrar todas sus 
notificaciones.
− El sistema solicita confirmación antes de eliminar todas las notificaciones y 
muestra un mensaje de éxito tras la acción.</t>
  </si>
  <si>
    <t>Gestion tecnica</t>
  </si>
  <si>
    <t>HU04</t>
  </si>
  <si>
    <t>Soporte técnico o FAQ</t>
  </si>
  <si>
    <t xml:space="preserve">Como paciente 
Quiero tener acceso a un chat de soporte o una sección de preguntas Frecuentes 
Para recibir ayuda si tengo problemas usando el sistema. </t>
  </si>
  <si>
    <t xml:space="preserve">- Debe existir un enlace visible en el menú o pie de página hacia la sección de ayuda.  
- Si hay chat, este debe permitir interacción en tiempo real o, en su defecto, dejar un mensaje. 
- Las FAQ deben estar organizadas por categorías para facilitar la búsqueda de 	información. 
- El chat de soporte debe permitir al paciente iniciar una conversación con un agente de soporte. 
- Debe existir un botón visible etiquetado como “Atención al paciente” o similar.  
- Al hacer clic, se debe mostrar una lista con los medios disponibles (chat, teléfono, correo, etc.) y su horario de atención. 
- La información de contacto debe ser precisa y funcional durante los horarios de atención. 
- Debe existir un formulario accesible desde el menú o la pantalla principal.  
- Al enviar la queja o sugerencia, el sistema debe mostrar un mensaje de confirmación. 
- Al enviar el formulario, el paciente debe recibir una confirmación de envío y, opcionalmente, un número de seguimiento. 
- El sistema debe registrar y notificar al equipo administrativo sobre la nueva queja/reclamo. </t>
  </si>
  <si>
    <t>HU05</t>
  </si>
  <si>
    <t>Reporte de errores técnicos</t>
  </si>
  <si>
    <t>Como paciente 
Quiero poder reportar un error técnico desde cualquier pantalla del sistema 
Para notificar fácilmente si algo no funciona correctamente</t>
  </si>
  <si>
    <t xml:space="preserve">− Debe haber un botón visible tipo “Reportar un problema” en todas las vistas del 
sistema.  
− Al enviar el reporte, debe mostrarse una notificación de confirmación de envío 
exitoso. </t>
  </si>
  <si>
    <t>Perfil</t>
  </si>
  <si>
    <t>HU51</t>
  </si>
  <si>
    <t>Acceder a un menú desplegable con opciones del perfil</t>
  </si>
  <si>
    <t xml:space="preserve">Como paciente 
Quiero tener acceso a un contenedor o menú desplegable desde mi perfil 
Para gestionar mis opciones personales dentro del sistema.   </t>
  </si>
  <si>
    <t xml:space="preserve">− El paciente puede hacer clic en su foto o nombre de perfil para desplegar un menú 
con opciones como "Editar perfil", "Cerrar sesión", entre otras.
− El menú desplegable permanece visible hasta que el paciente seleccione una 
opción o haga clic fuera del menú. </t>
  </si>
  <si>
    <t>HU52</t>
  </si>
  <si>
    <t>Editar mis datos personales desde el perfil</t>
  </si>
  <si>
    <t xml:space="preserve">Como paciente 
Quiero poder modificar mis datos personales (como teléfono, dirección, correo) desde 
el menú de perfil 
Para mantener mi información actualizada.  </t>
  </si>
  <si>
    <t xml:space="preserve">- El paciente puede acceder a un formulario desde el menú de perfil para modificar datos como teléfono, dirección y correo electrónico. 
- Al guardar los cambios, el sistema actualiza la información y muestra un mensaje de confirmación. 
- El sistema debe validar la nueva contraseña con una política de seguridad mínima (mínimo 8 caracteres, una mayúscula, un símbolo).  
- El usuario debe recibir una notificación de cambio exitoso. </t>
  </si>
  <si>
    <t>HU53</t>
  </si>
  <si>
    <t>Cerrar sesión desde el menú de perfil</t>
  </si>
  <si>
    <t xml:space="preserve">Como paciente 
Quiero poder cerrar sesión desde el contenedor del perfil 
Para finalizar mi actividad de forma segura.  </t>
  </si>
  <si>
    <t>- El paciente puede seleccionar la opción "Cerrar sesión" desde el menú desplegable del perfil. 
- Al cerrar sesión, el sistema redirige automáticamente a la página de inicio de sesión. 
- Al cerrar sesión, el sistema muestra un mensaje como "Sesión cerrada exitosamente". 
- El mensaje desaparece automáticamente después de unos segundos o al hacer clic en "Aceptar". 'Epicas'</t>
  </si>
  <si>
    <t>Notificaciones</t>
  </si>
  <si>
    <t>HU07</t>
  </si>
  <si>
    <t>Configuración de notificaciones</t>
  </si>
  <si>
    <t xml:space="preserve">Como paciente 
Quiero poder elegir qué tipo de notificaciones deseo recibir (correo) 
Para evitar recibir información no deseada. </t>
  </si>
  <si>
    <t>− Debe existir una opción en el perfil del paciente para seleccionar los canales de 
notificación.  
− Las preferencias deben guardarse correctamente y respetarse al momento de 
enviar notificaciones.</t>
  </si>
  <si>
    <t>Atención al usuario</t>
  </si>
  <si>
    <t>HU15</t>
  </si>
  <si>
    <t>Instrucciones o videotutoriales</t>
  </si>
  <si>
    <t>Como paciente 
Quiero acceder a una sección con instrucciones o videotutoriales sobre el uso del  
sistema 
Para aprender cómo navegar correctamente por la plataforma.</t>
  </si>
  <si>
    <t>− Debe haber una opción visible llamada “¿Cómo usar el sistema?” o similar.  
− Al ingresar, deben mostrarse al menos tres recursos (videos, guías escritas, 
preguntas frecuentes). 
− Los tutoriales deben ser claros, concisos y fáciles de entender, con una duración 
máxima de 2-3 minutos por video.</t>
  </si>
  <si>
    <t>Alertas</t>
  </si>
  <si>
    <t>HU18</t>
  </si>
  <si>
    <t>Alerta por página no disponible</t>
  </si>
  <si>
    <t>Como paciente 
Quiero que el sistema me muestre una notificación si accedo a una página inexistente 
o rota 
Para poder volver fácilmente al inicio o a una sección válida</t>
  </si>
  <si>
    <t>− Al acceder a una ruta inválida, debe mostrarse una página 404 amigable con un 
botón para volver al inicio.  
− El mensaje debe incluir un texto claro como “Página no encontrada”. 
− Debe incluir un enlace claro para regresar a la página de inicio o a la última 
página visitada.</t>
  </si>
  <si>
    <t>HU34</t>
  </si>
  <si>
    <t>Alerta por error técnico al cargar médicos</t>
  </si>
  <si>
    <t>Como paciente 
Quiero que el sistema me notifique si no puede cargar la lista de médicos disponibles, 
Para saber que hay un problema técnico.</t>
  </si>
  <si>
    <t>−Si ocurre un error de carga, debe mostrarse un mensaje como “No se pudo cargar la 
lista de médicos. Intenta nuevamente más tarde.”  
− El sistema debe ofrecer la opción de recargar o regresar a los filtros.</t>
  </si>
  <si>
    <t>Novedades</t>
  </si>
  <si>
    <t>HU14</t>
  </si>
  <si>
    <t>Visualizar novedades institucionales</t>
  </si>
  <si>
    <t xml:space="preserve">Como paciente 
Quiero ver un apartado con noticias, novedades, proyectos, tutoriales y otras  
actividades relacionadas con la institución médica 
Para mantenerme informado.  </t>
  </si>
  <si>
    <t>− Debe mostrarse una sección destacada en la pantalla principal con las últimas 5 
noticias o novedades.  
− Cada ítem debe incluir título, fecha y un resumen o enlace para más información. 
− Cada noticia debe ser clicable para ver el contenido completo en una nueva vista o 
modal.</t>
  </si>
  <si>
    <t>HU17</t>
  </si>
  <si>
    <t>Mensaje ante error de carga de noticias</t>
  </si>
  <si>
    <t xml:space="preserve">Como paciente 
Quiero que el sistema me muestre un mensaje si las noticias o novedades no se  
pueden cargar 
Para saber que no es un error de mi dispositivo.   </t>
  </si>
  <si>
    <t>− Si hay error en la carga de noticias, debe aparecer un mensaje como “No se 
pueden mostrar las novedades en este momento”.  
− El sistema debe intentar recargar automáticamente la sección cada cierto tiempo o 
permitir al usuario hacerlo manualmente.</t>
  </si>
  <si>
    <t>Navegacion</t>
  </si>
  <si>
    <t>HU16</t>
  </si>
  <si>
    <t>Navegación con miga de pan</t>
  </si>
  <si>
    <t>Como paciente 
Quiero poder navegar a través del sistema utilizando una miga de pan 
Para saber en qué sección me encuentro y regresar fácilmente a una anterior.</t>
  </si>
  <si>
    <t>− En cada página interna del sistema, debe mostrarse la miga de pan con la ruta 
actual.  
− Cada elemento debe ser clickeable y llevar correctamente a su respectiva sección. 
− Al hacer clic en cualquier parte de la miga de pan, el usuario debe ser llevado a 
esa sección anterior de forma correcta.</t>
  </si>
  <si>
    <t>Calendario</t>
  </si>
  <si>
    <t>HU19</t>
  </si>
  <si>
    <t>Visualizar calendario para agendar citas</t>
  </si>
  <si>
    <t xml:space="preserve">Como paciente 
Quiero acceder a un calendario donde pueda ver los días disponibles 
Para seleccionar cuándo deseo agendar una cita médica.   </t>
  </si>
  <si>
    <t>− El calendario debe mostrar los días del mes actual y permitir avanzar a meses 
siguientes.  
− Los días disponibles deben estar marcados visualmente (por ejemplo, en verde) y 
los ocupados en gris. 
− El calendario debe ser interactivo y permitir la navegación entre meses/años.</t>
  </si>
  <si>
    <t>HU20</t>
  </si>
  <si>
    <t>Ver días ocupados en el calendario</t>
  </si>
  <si>
    <t xml:space="preserve">Como paciente 
Quiero ver qué días ya están totalmente ocupados 
Para evitar seleccionar días sin disponibilidad.  </t>
  </si>
  <si>
    <t>− Los días ocupados deben estar deshabilitados o con un ícono que indique que no 
hay horarios disponibles.  
− Si se intenta hacer clic en un día sin disponibilidad, debe aparecer un mensaje 
informativo.</t>
  </si>
  <si>
    <t>HU25</t>
  </si>
  <si>
    <t>Visualizar horarios no disponibles</t>
  </si>
  <si>
    <t xml:space="preserve">Como paciente 
Quiero que se me muestren claramente los horarios ya tomados 
Para no intentar agendar en ellos.  </t>
  </si>
  <si>
    <t>− Los horarios no disponibles deben aparecer en gris, tachados o deshabilitados.  
− El sistema no debe permitir agendar una cita en una hora ya ocupada.</t>
  </si>
  <si>
    <t>Citas automaticas</t>
  </si>
  <si>
    <t>HU21</t>
  </si>
  <si>
    <t>Agendamiento automático de citas</t>
  </si>
  <si>
    <t xml:space="preserve">Como paciente 
Quiero tener una opción para que el sistema asigne automáticamente una cita  
disponible según mis preferencias 
Para ahorrar tiempo.   </t>
  </si>
  <si>
    <t>− El sistema debe permitir seleccionar filtros previos como especialidad y sede antes 
de asignar automáticamente.  
− Al generar la cita automática, debe mostrarse un resumen con la opción de 
confirmarla o rechazarla.</t>
  </si>
  <si>
    <t>Gestion de citas</t>
  </si>
  <si>
    <t>HU22</t>
  </si>
  <si>
    <t>Filtrar citas por especialidad médica</t>
  </si>
  <si>
    <t xml:space="preserve">Como paciente 
Quiero poder filtrar las citas por especialidad médica 
Para encontrar más fácilmente al profesional que necesito.  </t>
  </si>
  <si>
    <t xml:space="preserve">− Debe haber un campo desplegable con la lista de especialidades disponibles.  
− Al seleccionar una especialidad, deben mostrarse únicamente los médicos que la 
ofrecen. </t>
  </si>
  <si>
    <t>HU23</t>
  </si>
  <si>
    <t>Selección de hora en un día específico</t>
  </si>
  <si>
    <t xml:space="preserve">Como paciente 
Quiero elegir la hora exacta en la que deseo agendar mi cita 
Para ajustarla a mi disponibilidad.  </t>
  </si>
  <si>
    <t>− Una vez seleccionado un día, debe desplegarse una lista con los horarios 
disponibles.  
− Las horas ocupadas deben estar deshabilitadas o marcadas como no 
seleccionables.</t>
  </si>
  <si>
    <t>HU24</t>
  </si>
  <si>
    <t>Filtro por ubicación o sede</t>
  </si>
  <si>
    <t xml:space="preserve">Como paciente 
Quiero poder elegir la sede donde quiero recibir atención médica 
Para escoger la más cercana o conveniente.   </t>
  </si>
  <si>
    <t>− Debe mostrarse una lista de sedes disponibles al momento de agendar.  
− Al seleccionar una sede, deben filtrarse los médicos y horarios correspondientes a 
esa sede.</t>
  </si>
  <si>
    <t>HU26</t>
  </si>
  <si>
    <t>Definir rango de horas para buscar médicos</t>
  </si>
  <si>
    <t xml:space="preserve">Como paciente 
Quiero establecer un rango de horas en el que deseo ser atendido 
Para que el sistema me sugiera médicos dentro de ese horario.   </t>
  </si>
  <si>
    <t>− Debe existir una opción para ingresar un rango de horas (ej. de 8:00 a 11:00 a.m.).  
− Al aplicar el rango, solo deben mostrarse las opciones de cita que estén dentro de 
ese intervalo.</t>
  </si>
  <si>
    <t>HU35</t>
  </si>
  <si>
    <t>Cancelar o reprogramar cita</t>
  </si>
  <si>
    <t>Como paciente 
Quiero poder cancelar o reprogramar una cita ya agendada 
Para ajustarla a mis imprevistos o cambios de agenda.</t>
  </si>
  <si>
    <t>− Debe haber un botón de “Modificar cita” en la sección de historial.  
− Si la reprogramación se hace con menos de 24 horas de anticipación, debe 
mostrarse una advertencia o bloquear la acción según política.</t>
  </si>
  <si>
    <t>Gestion de medicos</t>
  </si>
  <si>
    <t>HU30</t>
  </si>
  <si>
    <t>Ver médicos disponibles después de agendar</t>
  </si>
  <si>
    <t xml:space="preserve">Como paciente 
Quiero que, al completar la información inicial para la cita, el sistema me muestre los 
médicos disponibles 
Para seleccionar el que prefiera.  </t>
  </si>
  <si>
    <t>− Una vez elegidos los filtros (fecha, sede, especialidad), deben mostrarse los 
perfiles de los médicos disponibles.  
− Cada perfil debe incluir nombre, especialidad y horario de atención.</t>
  </si>
  <si>
    <t>HU31</t>
  </si>
  <si>
    <t>Visualizar perfil del médico</t>
  </si>
  <si>
    <t xml:space="preserve">Como paciente 
Quiero acceder al perfil de un médico antes de seleccionarlo 
Para conocer más sobre su formación y especialidad.  </t>
  </si>
  <si>
    <t>− Cada médico en la lista debe tener un botón de “Ver perfil”.  
− El perfil debe mostrar nombre, estudios, especialidad y tipo de atención que 
ofrece.</t>
  </si>
  <si>
    <t>HU32</t>
  </si>
  <si>
    <t>Seleccionar médico preferido</t>
  </si>
  <si>
    <t xml:space="preserve">Como paciente 
Quiero poder seleccionar al médico que más se ajuste a mis necesidades, y confirmar 
mi elección con un mensaje claro. </t>
  </si>
  <si>
    <t>− Al seleccionar un médico, debe mostrarse una ventana emergente confirmando 
que se ha asignado correctamente.  
− El sistema debe guardar la relación cita-médico en el historial del paciente.</t>
  </si>
  <si>
    <t>Gestión de horarios</t>
  </si>
  <si>
    <t>HU06</t>
  </si>
  <si>
    <t>Modificar horarios de médicos</t>
  </si>
  <si>
    <t>Como administrador 
Quiero poder modificar horarios a los médicos 
Para que los mismos sepan las modificaciones o actualizaciones sobre el horario</t>
  </si>
  <si>
    <t>- Debe existir una vista de calendario editable para cada médico registrado.  
- Los cambios en la disponibilidad deben reflejarse inmediatamente en el módulo de agendamiento. 
- Debe existir un apartado para realizar modificaciones a los médicos 
- Debe existir otro apartado para agregar horarios a médicos 
- Deben existir médicos registrados 
- Debe existir una opción al lado del listado de médicos llamada como “Asignar” 
- Debe permitir establecer un horario con un rango a determinar 
- Deben existir opciones de hora de inicio y hora de finalización 
- Debe haber la opción para establecer los días a recibir un horario de trabajo 
- Debe existir una opción que permita confirmar la acción, titulada “Confirmar” 
- Debe salir un mensaje de verificación mencionando que la asignación fue exitosa 
- Debe existir médicos con horarios asignados 
- Debe existir una opción al lado del listado de médicos titulada “Modificar” 
- Debe permitir modificar el rango y días de horarios que tenga el médico asignado previamente 
- Debe incluir una opción que permita enviar la modificación, llamada “Confirmar” 
- Debe mostrar un mensaje de verificación que la modificación fue existosa.</t>
  </si>
  <si>
    <t>HU27</t>
  </si>
  <si>
    <t>Control de horarios según jornada laboral</t>
  </si>
  <si>
    <t xml:space="preserve">Como administrador 
Quiero que el sistema valide que las citas solo se puedan agendar dentro del horario 
laboral 
Para evitar reservas fuera del tiempo permitido. </t>
  </si>
  <si>
    <t>− El sistema debe bloquear automáticamente horas fuera del rango establecido (ej. 
antes de las 7:00 a.m. o después de las 6:00 p.m.).  
− El administrador debe poder configurar y modificar el horario laboral desde el 
panel de control.</t>
  </si>
  <si>
    <t>HU28</t>
  </si>
  <si>
    <t>Recibir notificación de nueva cita agendada</t>
  </si>
  <si>
    <t xml:space="preserve">Como administrador 
Quiero que se registre cada nueva cita agendada por los pacientes 
Para llevar control del flujo de atención médica. </t>
  </si>
  <si>
    <t>− Cada vez que un paciente agenda una cita, debe crearse un registro con la 
información básica de la misma.  
− El administrador debe poder ver un resumen diario o semanal de las citas 
programadas.</t>
  </si>
  <si>
    <t>Hora prioritaria</t>
  </si>
  <si>
    <t>HU33</t>
  </si>
  <si>
    <t>Encontrar primera hora disponible</t>
  </si>
  <si>
    <t xml:space="preserve">Como paciente 
Quiero una opción que me permita ver rápidamente la primera hora disponible según 
filtros 
Para agendar más eficientemente. </t>
  </si>
  <si>
    <t xml:space="preserve">- Debe haber un botón que diga “Buscar primera hora disponible”.  
- Al usarlo, el sistema debe buscar automáticamente la combinación más próxima de fecha, hora y médico. 
- Antes de confirmar, el sistema debe validar en tiempo real si el horario sigue disponible.  
- Si no está disponible, debe aparecer un mensaje que sugiera otras horas cercanas. 
- El sistema debe validar que los campos: fecha, sede, especialidad y médico estén completos.  
- Si falta algún dato, debe marcarlo en rojo y mostrar un mensaje explicativo. </t>
  </si>
  <si>
    <t>Validacion de citas</t>
  </si>
  <si>
    <t>HU29</t>
  </si>
  <si>
    <t>Confirmación de solicitud de cita</t>
  </si>
  <si>
    <t xml:space="preserve">Como paciente 
Quiero que, al finalizar la solicitud de cita, el sistema me muestre una ventana  
emergente de confirmación 
Para asegurarme de que el proceso fue exitoso.  </t>
  </si>
  <si>
    <t>− Al hacer clic en “Agendar cita”, debe mostrarse una notificación con el mensaje 
“Cita agendada exitosamente”.  
− Debe aparecer un resumen con la fecha, hora, médico y sede de la cita.</t>
  </si>
  <si>
    <t>Certificado</t>
  </si>
  <si>
    <t>HU08</t>
  </si>
  <si>
    <t>Comprobante de cita</t>
  </si>
  <si>
    <t xml:space="preserve">Como paciente 
Quiero poder descargar o imprimir un comprobante de mi cita médica 
Para tenerlo disponible si me lo solicitan o lo necesito. </t>
  </si>
  <si>
    <t>− Al agendar una cita, debe mostrarse un botón para generar el comprobante en 
PDF.  
− El comprobante debe incluir al menos: nombre del paciente, fecha y hora de la 
cita, médico y especialidad.</t>
  </si>
  <si>
    <t>Mi planilla</t>
  </si>
  <si>
    <t>HU39</t>
  </si>
  <si>
    <t>Acceder al perfil del médico desde una cita</t>
  </si>
  <si>
    <t xml:space="preserve">Como paciente 
Quiero poder acceder al perfil del médico con quien tengo o tuve la cita 
Para conocer más sobre su experiencia.   </t>
  </si>
  <si>
    <t xml:space="preserve">− Cada cita debe tener un botón de “Ver perfil del médico” o un ícono que lo 
indique.  
− El perfil debe abrirse en una ventana emergente o redirigir a una nueva página sin 
perder el historial. </t>
  </si>
  <si>
    <t>HU40</t>
  </si>
  <si>
    <t>Redirigir desde “Citas próximas” al agendamiento</t>
  </si>
  <si>
    <t xml:space="preserve">Como paciente 
Quiero que desde la sección de “Citas próximas” exista una opción para agendar una 
nueva cita 
Para facilitar la navegación del sistema.   </t>
  </si>
  <si>
    <t>− Debe haber un botón llamado “Agendar nueva cita” visible en la sección de “Citas 
próximas”.  
− Al hacer clic, debe redirigir automáticamente al módulo de agendamiento con 
filtros limpios.</t>
  </si>
  <si>
    <t>Gestion de mi planilla</t>
  </si>
  <si>
    <t>HU36</t>
  </si>
  <si>
    <t>Visualizar historial completo de citas</t>
  </si>
  <si>
    <t>Como paciente 
Quiero ver todas las citas que he tomado y las que tengo programadas 
Para llevar un control de mi atención médica.</t>
  </si>
  <si>
    <t>− La sección debe mostrar una lista dividida en “Citas próximas” y “Citas pasadas”.  
− Cada entrada debe contener fecha, hora, tipo de cita y nombre del médico.</t>
  </si>
  <si>
    <t>HU37</t>
  </si>
  <si>
    <t>Filtrar citas por estado (tomadas o pendientes)</t>
  </si>
  <si>
    <t xml:space="preserve">Como paciente 
Quiero tener una opción para filtrar entre citas ya tomadas y las que están   
programadas 
Para facilitar la revisión de mi historial.   </t>
  </si>
  <si>
    <t>− Debe existir un filtro o pestañas para cambiar entre “Citas pasadas” y “Citas 
próximas”.  
− El sistema debe mantener el estado del filtro seleccionado al navegar por esta 
sección.</t>
  </si>
  <si>
    <t>HU38</t>
  </si>
  <si>
    <t>Ver información detallada de cada cita</t>
  </si>
  <si>
    <t xml:space="preserve">Como paciente 
Quiero que cada cita en la lista incluya información detallada como fecha, hora,  
médico y tipo de atención 
Para saber en qué consiste.   </t>
  </si>
  <si>
    <t>− Cada ítem debe mostrar la información clave directamente en la lista o al 
desplegar un resumen.  
− Debe incluir al menos: nombre del médico, especialidad, sede, tipo de cita 
(presencial/virtual).</t>
  </si>
  <si>
    <t>HU42</t>
  </si>
  <si>
    <t>Modificar o reprogramar una cita</t>
  </si>
  <si>
    <t xml:space="preserve">Como paciente 
Quiero tener la opción de modificar o reprogramar una cita desde la sección de “Citas 
próximas” 
Para ajustarla si se me presenta un imprevisto.  </t>
  </si>
  <si>
    <t>- Cada cita próxima debe tener un botón de “Modificar”.  
- Al modificar, debe abrirse un formulario similar al de agendamiento que permita seleccionar nueva fecha y hora. 
- Si la cita está a menos de 24 horas, la opción para modificar debe estar desactivada.
- Debe mostrarse un mensaje explicativo como “Solo puedes modificar citas con al menos 24 horas de anticipación”.</t>
  </si>
  <si>
    <t>Familiares</t>
  </si>
  <si>
    <t>HU43</t>
  </si>
  <si>
    <t>Agregar un familiar con instrucciones claras</t>
  </si>
  <si>
    <t>Como paciente 
Quiero tener la opción de registrar a un familiar con indicaciones claras sobre cómo 
hacerlo 
Para vincular a las personas que deseo que estén informadas sobre mis procesos  
médicos.</t>
  </si>
  <si>
    <t>− Debe haber un botón de “Agregar familiar” visible, acompañado de un mensaje de 
ayuda o instructivo. 
− Al hacer clic, debe mostrarse un formulario para ingresar nombre, correo 
electrónico y tipo de relación.
− Debe salir una opción titulada “Agregar”, para agregar la información del familiar 
al sistema</t>
  </si>
  <si>
    <t>HU44</t>
  </si>
  <si>
    <t>Configurar tipo de información que recibe un familiar</t>
  </si>
  <si>
    <t xml:space="preserve">Como paciente 
Quiero elegir qué tipo de información puede recibir un familiar registrado (ej. citas, 
medicamentos) 
Para mantener el control sobre mi privacidad.   </t>
  </si>
  <si>
    <t>− El formulario de registro de familiar debe incluir un selector de categorías de 
información autorizadas. 
− Debe ser posible modificar esta configuración en cualquier momento desde el 
perfil del familiar.
− El sistema debe garantizar que el familiar solo pueda acceder y visualizar la 
información para la cual el paciente ha otorgado permiso explícitamente</t>
  </si>
  <si>
    <t>HU45</t>
  </si>
  <si>
    <t>Editar o eliminar un familiar existente</t>
  </si>
  <si>
    <t xml:space="preserve">Como paciente 
Quiero tener opciones para editar o eliminar un familiar registrado 
Para mantener actualizada y controlada la lista de personas asociadas a mi cuenta.  </t>
  </si>
  <si>
    <t xml:space="preserve">- Deben existir familiares registrados o agregados 
- Junto a cada familiar listado, debe haber un icono (ej. tres puntos verticales/horizontales, icono de lápiz) que al hacer clic despliegue un menú de opciones. 
- Cada familiar debe tener un menú (ícono de tres puntos o similar) con opciones para “Editar” y “Eliminar”.  
- Al seleccionar “Editar”, debe abrirse un formulario con los datos actuales para modificar.  
- Al seleccionar “Eliminar”, debe mostrarse un mensaje de confirmación antes de ejecutar la acción. 
- Deben existir familiares agregados. 
- Luego de guardar los cambios, debe mostrarse un mensaje como “Familiar agregado/modificado exitosamente”.  
- La lista de familiares debe actualizarse automáticamente sin necesidad de recargar la página. </t>
  </si>
  <si>
    <t>Gestion de familiares</t>
  </si>
  <si>
    <t>HU46</t>
  </si>
  <si>
    <t>Validar si un correo ya está registrado por otro familiar</t>
  </si>
  <si>
    <t xml:space="preserve">Como paciente 
Quiero recibir una advertencia si intento registrar a un familiar con un correo ya  
asociado a otra cuenta 
Para evitar errores o duplicados.  </t>
  </si>
  <si>
    <t>− El sistema debe validar automáticamente el correo al ingresarlo en el formulario. 
− Si el correo ya está en uso, debe mostrarse un mensaje como “Este correo ya está 
asociado a otro usuario”</t>
  </si>
  <si>
    <t>Indicaciones medicas</t>
  </si>
  <si>
    <t>HU47</t>
  </si>
  <si>
    <t>Visualizar indicaciones asignadas por el médico</t>
  </si>
  <si>
    <t xml:space="preserve">Como paciente 
Quiero poder visualizar las indicaciones médicas registradas por el profesional de  
salud tras una cita, como medicamentos o exámenes 
Para saber con claridad qué debo hacer.  </t>
  </si>
  <si>
    <t>− Debe haber tomado una cita previa
− Cada indicación debe mostrar su tipo (medicamento, estudio, recomendación 
general), fecha, y nombre del médico. 
− Las indicaciones deben estar organizadas por fecha de cita o estado (pendientes, 
completadas).</t>
  </si>
  <si>
    <t>HU48</t>
  </si>
  <si>
    <t>Activar recordatorios personalizados de indicaciones</t>
  </si>
  <si>
    <t xml:space="preserve">Como paciente 
Quiero poder activar notificaciones a partir de un horario definido por mí 
Para recordar cuándo tomar medicamentos o realizar actividades médicas.  </t>
  </si>
  <si>
    <t>− Debe existir una opción en cada indicación para configurar recordatorios con hora 
y frecuencia. 
− El sistema debe enviar notificaciones (por correo, app o web push) en los horarios 
establecidos.</t>
  </si>
  <si>
    <t>HU49</t>
  </si>
  <si>
    <t>Ser notificado si no hay indicaciones médicas asignadas</t>
  </si>
  <si>
    <t xml:space="preserve">Como paciente 
Quiero recibir una notificación clara si el médico aún no ha registrado indicaciones 
tras una cita 
Para saber que no es un error del sistema. </t>
  </si>
  <si>
    <t>− Si el paciente consulta una cita sin indicaciones, debe aparecer un mensaje como 
“Aún no se han registrado indicaciones para esta cita”. 
− La notificación debe diferenciar entre una falta de asignación y un error del 
sistema.</t>
  </si>
  <si>
    <t>HU50</t>
  </si>
  <si>
    <t>Marcar indicaciones como completadas</t>
  </si>
  <si>
    <t xml:space="preserve">Como paciente 
Quiero poder marcar una indicación como “completada” o “hecha” 
Para llevar un registro de mi cumplimiento del tratamiento.  </t>
  </si>
  <si>
    <t>− Cada indicación debe tener un botón o casilla para marcarla como realizada. 
− Al marcar una indicación, esta debe cambiar de estado visual (por ejemplo, 
tachada o con ícono de check).</t>
  </si>
  <si>
    <t>Gestion de usuarios</t>
  </si>
  <si>
    <t>HU59</t>
  </si>
  <si>
    <t xml:space="preserve">Como administrador 
Quiero una sección para poder agregar usuarios (medicos, pacientes, y administradores) </t>
  </si>
  <si>
    <t>- El formulario debe solicitar como mínimo: Rol, tipo y número de documento, nombre, apellido, teléfono, género, correo electrónico, contraseña y confirmación de contraseña y si coloca que es medico se le agrega especialiad y hospital.
- El botón de "Registrarme" debe estar deshabilitado hasta que todos los campos obligatorios estén diligenciados y se acepten los términos y condiciones.
- El usuario debe marcar la casilla de aceptación de términos y condiciones para completar el registro.
- Cada campo debe mostrar retroalimentación inmediata si el valor ingresado no cumple con el formato esperado (por ejemplo, correo mal escrito).  
- Los mensajes de error deben ser claros y específicos para cada campo.
- No se permite enviar el formulario si hay errores de validación sin corregir, y se le indica al usuario qué campos debe revisar. 
- La contraseña debe tener mínimo 8 caracteres, al menos una mayúscula, un número y un símbolo.
- Si no cumple con los requisitos, debe mostrarse un mensaje de advertencia y no permitir el registro</t>
  </si>
  <si>
    <t>#</t>
  </si>
  <si>
    <t>Historia de Usuario</t>
  </si>
  <si>
    <t>Valor para el negocio (1-5)</t>
  </si>
  <si>
    <t>Puntos de Historia</t>
  </si>
  <si>
    <t>Clasificación KANO</t>
  </si>
  <si>
    <t>Prioridad (Alta, Media o Baja)</t>
  </si>
  <si>
    <t>Must-be</t>
  </si>
  <si>
    <t>Alta</t>
  </si>
  <si>
    <t>Performance</t>
  </si>
  <si>
    <t>Media</t>
  </si>
  <si>
    <t>Delighter</t>
  </si>
  <si>
    <t>Baja</t>
  </si>
  <si>
    <t>Como paciente 
Quiero registrarme mediante un formulario que solicite mis datos personales y de  
contacto, incluyendo aceptación de términos y condiciones 
Para poder acceder al sistema con una cuenta propia.</t>
  </si>
  <si>
    <t xml:space="preserve">Como paciente 
Quiero que en cada sección del sistema se muestre un pie de página con la  
información esencial de la institución Para tener a la mano datos importantes sin importar dónde esté en el sistema.  </t>
  </si>
  <si>
    <t>Como paciente 
Quiero que el sistema tenga categorías claras en el menú (como “Inicio”, 
“Agendamiento de citas”, “Mi planilla”, “Familiares”, “Indicaciones médicas”, 
“Configuración”) 
Para poder navegar fácilmente sin perderme.</t>
  </si>
  <si>
    <t>Rol- Perfil</t>
  </si>
  <si>
    <t xml:space="preserve">Número Integrantes </t>
  </si>
  <si>
    <t xml:space="preserve">Horas diarias </t>
  </si>
  <si>
    <t>Duración del Sprint</t>
  </si>
  <si>
    <t xml:space="preserve">Horas disponibles </t>
  </si>
  <si>
    <t>Horas Productivas (80%)</t>
  </si>
  <si>
    <t>Frontend (Juliana)</t>
  </si>
  <si>
    <t>Diseñador (Sofía)</t>
  </si>
  <si>
    <t>Backend (Gerson)</t>
  </si>
  <si>
    <t>QA (Andrés)</t>
  </si>
  <si>
    <t>Capacidad total horas efectiva del sprint</t>
  </si>
  <si>
    <t>Velocidad (puntos de historia)</t>
  </si>
  <si>
    <t>1 semana (5 días hábiles)</t>
  </si>
  <si>
    <t>2 semanas (10 días laborables).</t>
  </si>
  <si>
    <r>
      <t xml:space="preserve">Cada persona trabaja </t>
    </r>
    <r>
      <rPr>
        <b/>
        <sz val="11"/>
        <color theme="1"/>
        <rFont val="Calibri"/>
        <family val="2"/>
        <scheme val="minor"/>
      </rPr>
      <t>8 horas diarias x 5 días = 40 horas por persona</t>
    </r>
    <r>
      <rPr>
        <sz val="11"/>
        <color theme="1"/>
        <rFont val="Calibri"/>
        <family val="2"/>
        <scheme val="minor"/>
      </rPr>
      <t xml:space="preserve"> x % productividad</t>
    </r>
  </si>
  <si>
    <r>
      <t>Disponibilidad diaria promedio por persona</t>
    </r>
    <r>
      <rPr>
        <sz val="11"/>
        <color theme="1"/>
        <rFont val="Calibri"/>
        <family val="2"/>
        <scheme val="minor"/>
      </rPr>
      <t>: 6 horas efectivas (considerando reuniones, soporte, etc.).</t>
    </r>
  </si>
  <si>
    <t>6 - 7h × 80% = 6.4 horas efectivas de desarrollo por persona al día</t>
  </si>
  <si>
    <r>
      <rPr>
        <b/>
        <sz val="11"/>
        <color rgb="FF000000"/>
        <rFont val="Calibri"/>
        <scheme val="minor"/>
      </rPr>
      <t>6.4 horas diarias por persona</t>
    </r>
    <r>
      <rPr>
        <sz val="11"/>
        <color rgb="FF000000"/>
        <rFont val="Calibri"/>
        <scheme val="minor"/>
      </rPr>
      <t xml:space="preserve"> se irán en actividades necesarias pero no directamente vinculadas a avanzar tareas del Product Backlog.</t>
    </r>
  </si>
  <si>
    <t>Reuniones (daily, planning, review, retrospectiva)</t>
  </si>
  <si>
    <t>Coordinaciones internas</t>
  </si>
  <si>
    <t>Consultas o bloqueos</t>
  </si>
  <si>
    <t>Tiempos de espera (por validaciones, revisiones, etc.)</t>
  </si>
  <si>
    <t>Pausas o distracciones inevitables</t>
  </si>
  <si>
    <t xml:space="preserve">Velocidad del equipo: </t>
  </si>
  <si>
    <r>
      <t>Relación aproximada entre los puntos de historia y las horas</t>
    </r>
    <r>
      <rPr>
        <sz val="11"/>
        <color theme="1"/>
        <rFont val="Calibri"/>
        <family val="2"/>
        <scheme val="minor"/>
      </rPr>
      <t>.</t>
    </r>
  </si>
  <si>
    <t>1 punto de historia = 4 horas de trabajo efectivas promedio</t>
  </si>
  <si>
    <t>Velocidad = (Horas disponibles por sprint) ÷ (Horas por punto de historia)</t>
  </si>
  <si>
    <t>Sprint</t>
  </si>
  <si>
    <t>Objetivo</t>
  </si>
  <si>
    <t xml:space="preserve">Fecha  Inicio </t>
  </si>
  <si>
    <t xml:space="preserve">Fecha  Fin </t>
  </si>
  <si>
    <t>Prioridad</t>
  </si>
  <si>
    <t>Sprint 1</t>
  </si>
  <si>
    <t>Lun 23 jun</t>
  </si>
  <si>
    <t>Mar 24 jun</t>
  </si>
  <si>
    <t>Como paciente 
Quiero registrarme mediante un formulario que solicite mis datos personales y de contacto, incluyendo aceptación de términos y condiciones 
Para poder acceder al sistema con una cuenta propia.</t>
  </si>
  <si>
    <t>Mie 25 jun</t>
  </si>
  <si>
    <t>Jue 26 jun</t>
  </si>
  <si>
    <t>Vie 27 jun</t>
  </si>
  <si>
    <t xml:space="preserve">Como paciente 
Quiero ser notificado si intento registrar una cuenta con un correo ya existente 
Para saber que debo iniciar sesión en lugar de crear una nueva cuenta. </t>
  </si>
  <si>
    <t>Total de puntos Sprint 1</t>
  </si>
  <si>
    <t>Sprint 2</t>
  </si>
  <si>
    <t>Lun 30 jun</t>
  </si>
  <si>
    <t>Mar 1 jul</t>
  </si>
  <si>
    <t>Mie 2 jul</t>
  </si>
  <si>
    <t>Vie 4 jul</t>
  </si>
  <si>
    <t>Total de puntos Sprint 2</t>
  </si>
  <si>
    <t>Sprint 3</t>
  </si>
  <si>
    <t>Lun 7 jul</t>
  </si>
  <si>
    <t>Mie 9 jul</t>
  </si>
  <si>
    <t>Jue 10 jul</t>
  </si>
  <si>
    <t>Vie 11 jul</t>
  </si>
  <si>
    <t>Total de puntos Sprint 3</t>
  </si>
  <si>
    <t>Sprint 4</t>
  </si>
  <si>
    <t>Lun 14 jul</t>
  </si>
  <si>
    <t>Mar 15 jul</t>
  </si>
  <si>
    <t>Mie 16 jul</t>
  </si>
  <si>
    <t>Jue 17 jul</t>
  </si>
  <si>
    <t>Vie 18 jul</t>
  </si>
  <si>
    <t>Total de puntos Sprint 4</t>
  </si>
  <si>
    <t>Sprint 5</t>
  </si>
  <si>
    <t>Lun 21 jul</t>
  </si>
  <si>
    <t>Mar 22 jul</t>
  </si>
  <si>
    <t>Navegación</t>
  </si>
  <si>
    <t>Mie 23 jul</t>
  </si>
  <si>
    <t>Indicaciones médicas</t>
  </si>
  <si>
    <t>Jue 24 jul</t>
  </si>
  <si>
    <t>Vie 25 jul</t>
  </si>
  <si>
    <t>Total de puntos Sprint 5</t>
  </si>
  <si>
    <t>Sprint 6</t>
  </si>
  <si>
    <t>Lun 28 jul</t>
  </si>
  <si>
    <t>Mar 29 jul</t>
  </si>
  <si>
    <t>Mie 30 jul</t>
  </si>
  <si>
    <t>Vie 1 ago</t>
  </si>
  <si>
    <t>Total de puntos Sprint 6</t>
  </si>
  <si>
    <t>Sprint 7</t>
  </si>
  <si>
    <t>Lun 4 ago</t>
  </si>
  <si>
    <t>Mar 5 ago</t>
  </si>
  <si>
    <t>Mie 6 ago</t>
  </si>
  <si>
    <t>Jue 7 ago</t>
  </si>
  <si>
    <t>Vie 8 ago</t>
  </si>
  <si>
    <t>Total de puntos Sprint 7</t>
  </si>
  <si>
    <t>Sprint 8</t>
  </si>
  <si>
    <t>Lun 11 ago</t>
  </si>
  <si>
    <t>Mar 12 ago</t>
  </si>
  <si>
    <t>Mie 13 ago</t>
  </si>
  <si>
    <t>Jue 14 ago</t>
  </si>
  <si>
    <t>Vie 15 ago</t>
  </si>
  <si>
    <t>Total de puntos Sprint 8</t>
  </si>
  <si>
    <t>Sprint 9</t>
  </si>
  <si>
    <t>Gestion de horarios</t>
  </si>
  <si>
    <t>Lun 18 ago</t>
  </si>
  <si>
    <t>Mar 19 ago</t>
  </si>
  <si>
    <t>Mie 20 ago</t>
  </si>
  <si>
    <t>Jue 21 ago</t>
  </si>
  <si>
    <t>Vie 22 ago</t>
  </si>
  <si>
    <t>Total de puntos Sprint 9</t>
  </si>
  <si>
    <t>Sprint 10</t>
  </si>
  <si>
    <t>Lun 25 ago</t>
  </si>
  <si>
    <t>Mar 26 ago</t>
  </si>
  <si>
    <t>Mie 27 ago</t>
  </si>
  <si>
    <t>Jue 28 ago</t>
  </si>
  <si>
    <t>Gestión de mi planilla</t>
  </si>
  <si>
    <t>Vie 29 ago</t>
  </si>
  <si>
    <t>Total de puntos Sprint 10</t>
  </si>
  <si>
    <t>Sprint 11</t>
  </si>
  <si>
    <t>Lun 1 sep</t>
  </si>
  <si>
    <t>Mar 2 sep</t>
  </si>
  <si>
    <t>Mie 3 sep</t>
  </si>
  <si>
    <t xml:space="preserve">Como paciente 
Quiero tener un menú con opciones para editar o eliminar un familiar registrado 
Para mantener actualizada y controlada la lista de personas asociadas a mi cuenta.  </t>
  </si>
  <si>
    <t>Jue 4 sep</t>
  </si>
  <si>
    <t>Total de puntos Sprint 11</t>
  </si>
  <si>
    <t>Mar 8 jul</t>
  </si>
  <si>
    <t>Jue 31 jul</t>
  </si>
  <si>
    <t>Como administrador 
Quiero una sección para poder agregar usuarios (medicos, pacientes, y administradores)</t>
  </si>
  <si>
    <t>Vie 5 sep</t>
  </si>
  <si>
    <t>Lun 8 sep</t>
  </si>
  <si>
    <t>Mar 9 sep</t>
  </si>
  <si>
    <t>Mie 10 sep</t>
  </si>
  <si>
    <t>Vie 12 sep</t>
  </si>
  <si>
    <t>Lun 15 sep</t>
  </si>
  <si>
    <t>Mar 16 sep</t>
  </si>
  <si>
    <t>Mie 17 sep</t>
  </si>
  <si>
    <t>Jue 18 sep</t>
  </si>
  <si>
    <t>Vie 19 sep</t>
  </si>
  <si>
    <t>Lun 22 sep</t>
  </si>
  <si>
    <t>Mar 23 sep</t>
  </si>
  <si>
    <t>Mie 24 sep</t>
  </si>
  <si>
    <t>Vie 26 sep</t>
  </si>
  <si>
    <t>Lun 29 sep</t>
  </si>
  <si>
    <t>Mar 30 sep</t>
  </si>
  <si>
    <t>Mie 1 oct</t>
  </si>
  <si>
    <t>Jue 2 oct</t>
  </si>
  <si>
    <t>Vie 3 oct</t>
  </si>
  <si>
    <t>Lun 6 oct</t>
  </si>
  <si>
    <t>Mar 7 oct</t>
  </si>
  <si>
    <t>Vie 10 oct</t>
  </si>
  <si>
    <t>SPRINT 1</t>
  </si>
  <si>
    <t>Título resumido</t>
  </si>
  <si>
    <t>Tarea</t>
  </si>
  <si>
    <t>Responsable</t>
  </si>
  <si>
    <t>Horas estimadas</t>
  </si>
  <si>
    <t>Entregable</t>
  </si>
  <si>
    <t>Horas totales</t>
  </si>
  <si>
    <t>Diseño del formulario de registro con campos necesarios y mensaje de términos</t>
  </si>
  <si>
    <t>Diseñador</t>
  </si>
  <si>
    <t xml:space="preserve">Formulario de registro funcional con validacion de datos </t>
  </si>
  <si>
    <t xml:space="preserve">Desarrollo de formulario de registro </t>
  </si>
  <si>
    <t>Frontend</t>
  </si>
  <si>
    <t>Creación de usuarios, validación de datos y almacenamiento seguro</t>
  </si>
  <si>
    <t>Backend</t>
  </si>
  <si>
    <t>Pruebas de validación del formulario y funcionalidad de registro</t>
  </si>
  <si>
    <t>QA</t>
  </si>
  <si>
    <t>Revisión conjunta del flujo de registro</t>
  </si>
  <si>
    <t>Todos</t>
  </si>
  <si>
    <t>Validación de campos del formulario en tiempo real</t>
  </si>
  <si>
    <t>Definir reglas de validación para cada campo (formato, longitud, requeridos, etc...)</t>
  </si>
  <si>
    <t>Formulario con validación en tiempo real y mensajes de error útiles</t>
  </si>
  <si>
    <t>Implementar validación en tiempo real durante la escritura en el formulario, crear mensajes de error claros y accesibles para cada tipo de validación</t>
  </si>
  <si>
    <t>Verificar funcionamiento de todas las validaciones (manual y automatizado)</t>
  </si>
  <si>
    <t>Revisión de flujo completo de registro con validaciones activas</t>
  </si>
  <si>
    <t>Recuperacion de contraseña</t>
  </si>
  <si>
    <t>Definir la política de seguridad (longitud mínima, caracteres especiales, etc.)</t>
  </si>
  <si>
    <t>Registro validado con contraseñas seguras según política definida</t>
  </si>
  <si>
    <t>Implementar validación de contraseña según política en el formulario de registro</t>
  </si>
  <si>
    <t>Agregar validación del lado del servidor y mensajes de errores claros</t>
  </si>
  <si>
    <t>Verificar funcionamiento con casos válidos e inválidos</t>
  </si>
  <si>
    <t>Revisión conjunta del cumplimiento y experiencia de usuario</t>
  </si>
  <si>
    <t>Diseño de mensaje de error claro y empático</t>
  </si>
  <si>
    <t xml:space="preserve">	Error técnico mostrado adecuadamente al usuario final si el sistema falla.</t>
  </si>
  <si>
    <t>Visualización del mensaje de error en pantalla de login</t>
  </si>
  <si>
    <t>Implementación del manejo de errores del servidor al iniciar sesión</t>
  </si>
  <si>
    <t>Pruebas simulando error del servidor</t>
  </si>
  <si>
    <t>Revisión integral del flujo</t>
  </si>
  <si>
    <t>Diseño del mensaje de advertencia cuando el correo ya está registrado</t>
  </si>
  <si>
    <t xml:space="preserve">	Mensaje desplegado correctamente al detectar correo ya registrado, indicando iniciar sesión en su lugar.</t>
  </si>
  <si>
    <t>Integración del mensaje de advertencia en la interfaz</t>
  </si>
  <si>
    <t>Implementación de validación de correo en base de datos</t>
  </si>
  <si>
    <t>Pruebas con correos duplicados y verificación de la notificación</t>
  </si>
  <si>
    <t>Revisión conjunta de la funcionalidad</t>
  </si>
  <si>
    <t>SPRINT 2</t>
  </si>
  <si>
    <t>Diseño de estructura del menú con categorías visibles y comprensibles</t>
  </si>
  <si>
    <t>Menú funcional con las categorías: Inicio, Agendamiento de citas, Mi planilla, Familiares, Indicaciones médicas, Configuración.</t>
  </si>
  <si>
    <t>Desarrollo del menú interactivo (menú lateral o superior)</t>
  </si>
  <si>
    <t>Configuración lógica de navegación y rutas hacia cada sección</t>
  </si>
  <si>
    <t>Pruebas de usabilidad para asegurar que cada categoría lleva al lugar correcto</t>
  </si>
  <si>
    <t>Revisión de accesibilidad y facilidad de uso</t>
  </si>
  <si>
    <t>Diseño de la interfaz del panel con bloques para citas, indicaciones y notificaciones</t>
  </si>
  <si>
    <t>Panel integrado que muestra citas próximas, indicaciones médicas activas y notificaciones recientes.</t>
  </si>
  <si>
    <t>Desarrollo de los componentes visuales del panel en el frontend</t>
  </si>
  <si>
    <t>Lógica de carga de datos del resumen (citas, indicaciones, notificaciones)</t>
  </si>
  <si>
    <t>Validación de funcionamiento y datos correctos en cada bloque</t>
  </si>
  <si>
    <t>Revisión general del comportamiento del panel y su utilidad para el usuario final</t>
  </si>
  <si>
    <t>Diseño del panel con vista clara de la agenda diaria y acceso directo al historial</t>
  </si>
  <si>
    <t>Panel que muestra citas del día con enlaces al historial médico de cada paciente agendado.</t>
  </si>
  <si>
    <t>Desarrollo de la vista con componentes que muestren las citas y habiliten enlaces al historial</t>
  </si>
  <si>
    <t>Backend para consulta de citas diarias y vinculación con datos médicos del paciente</t>
  </si>
  <si>
    <t>Pruebas de funcionalidad y navegación entre agenda e historiales</t>
  </si>
  <si>
    <t>Revisión final para garantizar experiencia fluida y datos bien organizados</t>
  </si>
  <si>
    <t>Diseño del pie de pagina con datos esenciales (nombre, contacto, direccion, horario, enlaces)</t>
  </si>
  <si>
    <t>Pie de página funcional y consistente en todo el sistema con información institucional clave.</t>
  </si>
  <si>
    <t>Implementación del pie de página en plantilla global de la interfaz</t>
  </si>
  <si>
    <t>Pruebas para asegurar que el pie de página aparece en todas las secciones del sistema</t>
  </si>
  <si>
    <t>Diseño de la interfaz de la notificacion</t>
  </si>
  <si>
    <t>Notificación automática funcional que avisa al paciente un día antes de su cita médica programada.</t>
  </si>
  <si>
    <t>Integracion del sistema de alertas en interfaz del paciente</t>
  </si>
  <si>
    <t>Desarrollo del sistema de alertas programadas segun la fecha y hora de cita</t>
  </si>
  <si>
    <t>Pruebas para verificar las alertas se envian correctamente segun el tiempo configurado</t>
  </si>
  <si>
    <t>Validación del comportamiento del sistema en distintos escenarios (con y sin citas próximas)</t>
  </si>
  <si>
    <t>SPRINT 3</t>
  </si>
  <si>
    <t>Diseño de las ventanas de notificacion(es)</t>
  </si>
  <si>
    <t>Botón para acceder a las notificaciones</t>
  </si>
  <si>
    <t>Desarrollo del diseño de las notificaciones junto a las funcionalidades</t>
  </si>
  <si>
    <t>Desarrollo de la información (debe existir) de las notificaciones</t>
  </si>
  <si>
    <t>Revisión y seguimiento del proceso de desarrollo de la función</t>
  </si>
  <si>
    <t>Revisión en conjunto de la funcionalidad</t>
  </si>
  <si>
    <t>Enlase funcional para dirigirse donde esta la informacion completa .</t>
  </si>
  <si>
    <t xml:space="preserve">Desarrollo de boton para dirigirse donde esta la informacion se esa informacion </t>
  </si>
  <si>
    <t xml:space="preserve">Validación de funcionamiento del boton </t>
  </si>
  <si>
    <t xml:space="preserve">Diseño del ícono de eliminación individual </t>
  </si>
  <si>
    <t xml:space="preserve">Funcionalidad para eliminar notificaciones individuales </t>
  </si>
  <si>
    <t>Desarrollo del botón de eliminar notificación y su funcionalidad</t>
  </si>
  <si>
    <t>Implementación de lógica para eliminar la notificación del sistema del usuario</t>
  </si>
  <si>
    <t>Pruebas: clic en ícono, eliminación efectiva,visualisacion (confirmación o desaparición)</t>
  </si>
  <si>
    <t>Revisión y validación final del comportamiento</t>
  </si>
  <si>
    <t>Diseño del ícono de eliminación general</t>
  </si>
  <si>
    <t xml:space="preserve">Funcionalidad para eliminar todas las notificacione  </t>
  </si>
  <si>
    <t>Desarrollo del botón de eliminar las notificacione</t>
  </si>
  <si>
    <t>Implementación de lógica para eliminar la notificaciónes del sistema del usuario</t>
  </si>
  <si>
    <t>Diseño de acceso visible al chat o sección de preguntas frecuentes (FAQ)</t>
  </si>
  <si>
    <t xml:space="preserve">	Acceso a soporte/FAQ integrado, funcional y visible desde cualquier sección del sistema.</t>
  </si>
  <si>
    <t>Implementación del diseño en la interfaz</t>
  </si>
  <si>
    <t xml:space="preserve">Configuración de backend para redireccionar al chat o al correo alectronico </t>
  </si>
  <si>
    <t>Pruebas de accesibilidad, visibilidad, y correcto despliegue</t>
  </si>
  <si>
    <t>Validación de funcionalidad e integración del acceso en diferentes secciones del sistema</t>
  </si>
  <si>
    <t xml:space="preserve">Diseño de botón </t>
  </si>
  <si>
    <t xml:space="preserve">	Funcionalidad activa y visible en toda la plataforma, con almacenamiento correcto de reportes.</t>
  </si>
  <si>
    <t>Desarrollo del componente visual y su integración en todas las secciones</t>
  </si>
  <si>
    <t>Configuración de backend para recibir y almacenar los reportes con detalles técnicos</t>
  </si>
  <si>
    <t>Pruebas de envío, visibilidad del botón, y validación de que llegue la información esperada</t>
  </si>
  <si>
    <t>Validación integral con todos los equipos</t>
  </si>
  <si>
    <t>SPRINT 4</t>
  </si>
  <si>
    <t>Diseño de menú desplegable accesible desde el perfil</t>
  </si>
  <si>
    <t xml:space="preserve">	Menú desplegable funcional y validado, accesible desde el perfil del paciente.</t>
  </si>
  <si>
    <t>Implementación del menú desplegable con accesibilidad y estilo coherente</t>
  </si>
  <si>
    <t>cargar datos del usuario y opciones configurables</t>
  </si>
  <si>
    <t>Pruebas de despliegue, navegación y gestión de opciones</t>
  </si>
  <si>
    <t>Revisión de experiencia y funcionalidad final</t>
  </si>
  <si>
    <t>Diseño de interfaz para editar teléfono, dirección y correo</t>
  </si>
  <si>
    <t>Funcionalidad integrada que permite modificar datos personales desde el menú de perfil.</t>
  </si>
  <si>
    <t>Desarrollo de componentes interactivos del formulario</t>
  </si>
  <si>
    <t>Backend para validar, guardar y actualizar los nuevos datos del usuario</t>
  </si>
  <si>
    <t>Pruebas de validación de campos, actualizaciones correctas y errores</t>
  </si>
  <si>
    <t>Revisión final de experiencia de usuario y flujos</t>
  </si>
  <si>
    <t>Diseño del botón de “Cerrar sesión” dentro del contenedor del perfil</t>
  </si>
  <si>
    <t xml:space="preserve">	Funcionalidad completa de cierre de sesión desde el perfil, probada y estable.</t>
  </si>
  <si>
    <t>Implementación del botón de cierre de sesión en la interfaz</t>
  </si>
  <si>
    <t>Desarrollo de la lógica para cerrar sesión y redirigir al login</t>
  </si>
  <si>
    <t>Pruebas de flujo de cierre, redirección y sesión finalizada</t>
  </si>
  <si>
    <t>Revisión final en todos los navegadores y dispositivos</t>
  </si>
  <si>
    <t>Diseño de la sección de ayuda con espacio para instrucciones y tutoriales</t>
  </si>
  <si>
    <t>Sección funcional con videotutoriales e instrucciones clara y accesible al paciente</t>
  </si>
  <si>
    <t>Implementación de la interfaz con listado de temas y reproductor de video o visor de contenidos</t>
  </si>
  <si>
    <t>Carga e integración de los videotutoriales o materiales explicativos al sistema</t>
  </si>
  <si>
    <t>Pruebas de reproducción, navegación por temas y visibilidad adecuada de la sección</t>
  </si>
  <si>
    <t>Validación en dispositivos móviles, diseño responsivo y enlaces funcionales desde otras secciones</t>
  </si>
  <si>
    <t>Diseño de interfaz para configuración de preferencias de notificación</t>
  </si>
  <si>
    <t>Funcionalidad completa para configurar y aplicar preferencias de notificación</t>
  </si>
  <si>
    <t>Implementación de la interfaz en el módulo de perfil</t>
  </si>
  <si>
    <t>Desarrollo de la lógica para guardar y aplicar las preferencias del usuario</t>
  </si>
  <si>
    <t>Pruebas de activación/desactivación y envío solo por canales permitidos</t>
  </si>
  <si>
    <t>Verificación de experiencia de usuario, accesibilidad y comportamiento correcto</t>
  </si>
  <si>
    <t>SPRINT 5</t>
  </si>
  <si>
    <t>Mostrar un diseño intuitivo que indique que la página a mostrar no existe</t>
  </si>
  <si>
    <t>Comprobar que si se redirije a una página inexistente controlar dicho error (Error 404)</t>
  </si>
  <si>
    <t>Implementar el diseño propuesto y aplicar los métodos de control de errores</t>
  </si>
  <si>
    <t>Revisar y esta atento a cualquier inquietud durante el desarrollo de esta función</t>
  </si>
  <si>
    <t>Diseño del mensaje de error visual en pantalla</t>
  </si>
  <si>
    <t>Sistema notifica apropiadamente al paciente si no puede cargar médicos por problemas técnicos</t>
  </si>
  <si>
    <t>Implementación del mensaje de error en la interfaz</t>
  </si>
  <si>
    <t>Desarrollo de la lógica para capturar y mostrar errores de carga de médicos</t>
  </si>
  <si>
    <t>Pruebas de fallos simulados en carga de datos y comportamiento del sistema</t>
  </si>
  <si>
    <t>Validación de que el mensaje sea accesible, claro y no bloquee otras funciones</t>
  </si>
  <si>
    <t>Diseño de la sección “Noticias y Novedades” con tarjetas o listado ordenado</t>
  </si>
  <si>
    <t>Sección activa y funcional que permite al paciente informarse sobre la institución médica</t>
  </si>
  <si>
    <t>Desarrollo de la interfaz de la sección, con visualización y navegación básica</t>
  </si>
  <si>
    <t>Creación de endpoints para cargar contenido dinámico (noticias, videos, tutoriales), Integración del contenido institucional en la plataforma (con control de versiones o fechas)</t>
  </si>
  <si>
    <t>Pruebas de navegación, visualización de contenido y compatibilidad en dispositivos</t>
  </si>
  <si>
    <t>Validación del funcionamiento general y estilo comunicativo institucional</t>
  </si>
  <si>
    <t>Diseño del mensaje de error ante fallo en la carga de noticias</t>
  </si>
  <si>
    <t>Notificación funcional cuando no se pueden cargar noticias o novedades</t>
  </si>
  <si>
    <t>Configuración del mensaje de error y botón para reintentar o contactar soporte</t>
  </si>
  <si>
    <t>Implementación de lógica para detectar fallos en la carga del contenido</t>
  </si>
  <si>
    <t>Validación funcional en caso de error (fallo real o simulado)</t>
  </si>
  <si>
    <t>Revisión de texto, visibilidad en dispositivos y consistencia general</t>
  </si>
  <si>
    <t>Diseño visual de la miga de pan con estilo institucional</t>
  </si>
  <si>
    <t>Miga de pan funcional, visible y útil en la navegación del sistema</t>
  </si>
  <si>
    <t>Implementación del componente de navegación con rutas dinámicas y Integración con la estructura de rutas del sistema</t>
  </si>
  <si>
    <t>Validación de funcionamiento en distintas secciones y flujos de navegación</t>
  </si>
  <si>
    <t>Verificación de visibilidad, accesibilidad y consistencia en todos los dispositivos</t>
  </si>
  <si>
    <t>Diseño de la sección de indicaciones médicas (estructura clara y jerárquica)</t>
  </si>
  <si>
    <t>Sección funcional y validada que permite al paciente visualizar, de forma clara y estructurada, las indicaciones médicas emitidas por el profesional tras una cita (medicación, exámenes, restricciones, etc.), accesible desde su historial clínico.</t>
  </si>
  <si>
    <t>Implementación en frontend para mostrar indicaciones por cita</t>
  </si>
  <si>
    <t>Desarrollo backend para recuperar las indicaciones asociadas a la cita desde la base de dato</t>
  </si>
  <si>
    <t>Pruebas de visualización, legibilidad de contenido y vínculo con citas anteriores</t>
  </si>
  <si>
    <t>Verificación final en móviles, tablets y navegadores comunes</t>
  </si>
  <si>
    <t>Diseño de la interfaz para configurar horarios de recordatorio</t>
  </si>
  <si>
    <t>Funcionalidad habilitada para que el paciente configure horarios personalizados de recordatorio, con sistema de notificaciones activas para medicamentos o indicaciones médicas, probada y validada en distintos dispositivos.</t>
  </si>
  <si>
    <t>Implementación frontend para selección de horarios y activación de recordatorios</t>
  </si>
  <si>
    <t>Desarrollo backend para guardar horarios personalizados y generar alertas</t>
  </si>
  <si>
    <t>Pruebas de funcionamiento de las notificaciones en distintos horarios y condiciones</t>
  </si>
  <si>
    <t>Verificación de funcionamiento multiplataforma (móvil, web) y consistencia en alertas</t>
  </si>
  <si>
    <t>Generar mensaje si no hay asignaciones activas</t>
  </si>
  <si>
    <t>Desarrollo del mensaje de notificación si NO hay indicaciones médicas</t>
  </si>
  <si>
    <t>Desarrollo de la información (debe existir) en las indicaciones médicas</t>
  </si>
  <si>
    <t>Diseño del botón de marcar como completado una indicación</t>
  </si>
  <si>
    <t>Botón para marcar indicaciones como "Completada"</t>
  </si>
  <si>
    <t>Desarrollar el boton propuesto por el diseñador</t>
  </si>
  <si>
    <t>Evita que las notificaciones marcadas sigan saliendo de manera emergente</t>
  </si>
  <si>
    <t>SPRINT 6</t>
  </si>
  <si>
    <t>Diseño del componente de calendario con énfasis en usabilidad y accesibilidad</t>
  </si>
  <si>
    <t>Calendario funcional con días disponibles visibles y proceso de agendamiento</t>
  </si>
  <si>
    <t>Implementación del calendario interactivo y visualización de disponibilidad</t>
  </si>
  <si>
    <t>Integración con backend para cargar la disponibilidad real por fechas y médicos</t>
  </si>
  <si>
    <t>Validación de selección de fechas, interacción y flujo completo de agendamiento</t>
  </si>
  <si>
    <t>Revisión de compatibilidad con dispositivos móviles, tablets y escritorios</t>
  </si>
  <si>
    <t>Diseño del estilo visual para días ocupados</t>
  </si>
  <si>
    <t>Días ocupados se muestran correctamente en el calendario</t>
  </si>
  <si>
    <t>Implementación de la distinción visual en frontend</t>
  </si>
  <si>
    <t>Desarrollo de la lógica en backend para marcar días como ocupados</t>
  </si>
  <si>
    <t>Validación funcional del comportamiento</t>
  </si>
  <si>
    <t>Revisión general del módulo</t>
  </si>
  <si>
    <t>Definición del diseño para representar horarios no disponibles</t>
  </si>
  <si>
    <t>Horarios no disponibles se bloquean o no se muestran</t>
  </si>
  <si>
    <t>Implementación del bloqueo u ocultación en frontend</t>
  </si>
  <si>
    <t>Desarrollo de la lógica de backend</t>
  </si>
  <si>
    <t>Validación de la interacción con horarios restringidos</t>
  </si>
  <si>
    <t>Revisión conjunta del comportamiento</t>
  </si>
  <si>
    <t>Diseño de interfaz para activar la asignación automática y definir preferencias</t>
  </si>
  <si>
    <t>Funcionalidad integrada para la asignación automática de citas según preferencias del paciente, con interfaz intuitiva, lógica conectada a disponibilidad real, pruebas de funcionamiento y experiencia validada en distintos dispositivos.</t>
  </si>
  <si>
    <t>Desarrollo de formulario de preferencias y botón de asignar automáticamente</t>
  </si>
  <si>
    <t>Lógica backend para buscar y asignar automáticamente una cita libre que cumpla con filtros</t>
  </si>
  <si>
    <t>Pruebas de selección automática con distintos criterios y casos límite</t>
  </si>
  <si>
    <t>Validación final de experiencia completa e integración con agenda existente</t>
  </si>
  <si>
    <t>SPRINT 7</t>
  </si>
  <si>
    <t>Diseño del filtro de especialidades médicas (menú desplegable)</t>
  </si>
  <si>
    <t>Filtro de citas por especialidad médica completamente funcional e integrado al sistema de agendamiento, con diseño intuitivo, resultados precisos y validado en múltiples entornos.</t>
  </si>
  <si>
    <t>Implementación del componente de filtro en la interfaz de agendamiento</t>
  </si>
  <si>
    <t>Lógica backend para devolver solo citas relacionadas a la especialidad seleccionada</t>
  </si>
  <si>
    <t>Pruebas de comportamiento del filtro, casos vacíos, y resultados esperados</t>
  </si>
  <si>
    <t>Validación funcional en distintos dispositivos y navegadores</t>
  </si>
  <si>
    <t>Diseño de selector de hora integrado al calendario</t>
  </si>
  <si>
    <t xml:space="preserve">Funcionalidad completa para seleccionar la hora exacta de una cita médica desde la interfaz del calendario, con validación de disponibilidad en tiempo real, diseño claro y experiencia fluida en todos los dispositivos.
</t>
  </si>
  <si>
    <t>Desarrollo frontend del selector interactivo para escoger hora disponible</t>
  </si>
  <si>
    <t>Lógica backend para validar y mostrar horas realmente disponibles en tiempo real</t>
  </si>
  <si>
    <t>Pruebas de selección de hora, validación de disponibilidad y comportamiento en varios casos</t>
  </si>
  <si>
    <t>Verificación de funcionamiento multiplataforma y consistencia visual</t>
  </si>
  <si>
    <t>Diseño del selector de sedes (menú desplegable)</t>
  </si>
  <si>
    <t>Funcionalidad de selección de sede médica integrada al agendamiento, con interfaz clara, filtrado preciso por sede, y pruebas completas de usabilidad y comportamiento.</t>
  </si>
  <si>
    <t>Implementación del componente de selección de sede en el flujo de agendamiento</t>
  </si>
  <si>
    <t>Lógica backend para filtrar disponibilidad de citas según sede seleccionada</t>
  </si>
  <si>
    <t>Pruebas de selección correcta de sede y visualización de resultados asociados</t>
  </si>
  <si>
    <t>Verificación de funcionamiento en distintas resoluciones y dispositivos</t>
  </si>
  <si>
    <t>Diseño de interfaz para mostrar citas próximas con opciones de cancelar o reprogramar</t>
  </si>
  <si>
    <t>Funcionalidad habilitada para cancelar o reprogramar citas desde el perfil del paciente, con actualizaciones reflejadas en tiempo real, interfaz intuitiva y validada en distintos dispositivos.</t>
  </si>
  <si>
    <t>Implementación del botón de cancelar y flujo de reprogramación en la interfaz</t>
  </si>
  <si>
    <t>Desarrollo de lógica backend para actualizar o eliminar la cita en el sistema</t>
  </si>
  <si>
    <t>Pruebas funcionales de cancelación y reprogramación (confirmaciones, actualizaciones de agenda)</t>
  </si>
  <si>
    <t>Revisión de la experiencia de usuario en móviles y escritorio</t>
  </si>
  <si>
    <t>SPRINT 8</t>
  </si>
  <si>
    <t>Diseño del selector de rango horario en el flujo de agendamiento (deslizadores, campos, etc.)</t>
  </si>
  <si>
    <t>Funcionalidad de selección de rango horario implementada e integrada al proceso de agendamiento, con filtrado inteligente de disponibilidad médica y validada en distintos entornos de uso.</t>
  </si>
  <si>
    <t>Implementación del selector de rango horario en la interfaz</t>
  </si>
  <si>
    <t>Desarrollo de lógica para filtrar médicos disponibles dentro del rango horario</t>
  </si>
  <si>
    <t>Pruebas de precisión en sugerencias y cumplimiento del rango elegido</t>
  </si>
  <si>
    <t>Revisión de comportamiento y usabilidad del selector en todos los dispositivos</t>
  </si>
  <si>
    <t>Diseño de la interfaz para mostrar la lista de médicos disponibles</t>
  </si>
  <si>
    <t>Visualización funcional de los médicos disponibles tras completar los datos iniciales de la cita, con filtros aplicados correctamente y experiencia fluida para el paciente.</t>
  </si>
  <si>
    <t>Implementación frontend de la sección dinámica que carga los médicos según filtros elegidos</t>
  </si>
  <si>
    <t>Desarrollo de la lógica backend para consultar médicos disponibles según fecha, sede, etc.</t>
  </si>
  <si>
    <t>Pruebas de carga, filtrado y visualización de médicos según los criterios ingresados</t>
  </si>
  <si>
    <t>Revisión integral en distintos navegadores y tamaños de pantalla</t>
  </si>
  <si>
    <t>Diseño de una vista de perfil del médico (especialidad, experiencia, foto, etc.)</t>
  </si>
  <si>
    <t>Funcionalidad completa que permite al paciente consultar el perfil detallado de un médico antes de seleccionarlo para su cita, accesible desde la interfaz de agendamiento y probada en todos los dispositivos.</t>
  </si>
  <si>
    <t>Implementación del acceso al perfil desde la lista de médicos disponibles</t>
  </si>
  <si>
    <t>Desarrollo backend para servir la información detallada de cada médico</t>
  </si>
  <si>
    <t>Pruebas de navegación, carga de datos y visualización del perfil</t>
  </si>
  <si>
    <t>Verificación en dispositivos móviles y de escritorio</t>
  </si>
  <si>
    <t>Diseño de la interfaz para mostrar tarjetas de médicos y destacar al seleccionado</t>
  </si>
  <si>
    <t>Funcionalidad completa que permite al paciente visualizar una lista de médicos, seleccionar el que prefiera, recibir una confirmación clara de su elección y continuar con el proceso de agendamiento, validado en distintos dispositivos y navegadores.</t>
  </si>
  <si>
    <t>Desarrollo de la lógica para seleccionar un médico y mostrar un mensaje de confirmación visual</t>
  </si>
  <si>
    <t>Implementación del registro del médico seleccionado para la cita en el sistema</t>
  </si>
  <si>
    <t>Pruebas de usabilidad, confirmación visual y flujo completo</t>
  </si>
  <si>
    <t>Validación cruzada en diferentes dispositivos y navegadores</t>
  </si>
  <si>
    <t>SPRINT 9</t>
  </si>
  <si>
    <t>Diseño de interfaz para edición de horarios médicos</t>
  </si>
  <si>
    <t>Módulo funcional para que los administradores modifiquen horarios médicos de forma intuitiva, con notificación automática al médico afectado, asegurando integridad del calendario y compatibilidad con citas ya agendadas.</t>
  </si>
  <si>
    <t>Implementación de formulario o vista editable de horarios en el panel de administración</t>
  </si>
  <si>
    <t>Desarrollo de lógica backend para actualizar horarios y notificar cambios al médico</t>
  </si>
  <si>
    <t>Pruebas de modificaciones con validación de conflictos y notificación</t>
  </si>
  <si>
    <t>Revisión de impacto en citas existentes, sincronización con disponibilidad y feedback visual</t>
  </si>
  <si>
    <t>diseño y parametrización de los rangos de horario laboral por sede y especialidad</t>
  </si>
  <si>
    <t>Sistema de agendamiento validado que solo permite reservar citas dentro del horario laboral definido, con restricciones visuales en la interfaz y lógica de backend que asegura integridad en la programación.</t>
  </si>
  <si>
    <t>Implementación en frontend de restricciones visuales (bloqueo de horas fuera del rango)</t>
  </si>
  <si>
    <t>Desarrollo de la lógica de validación de horarios permitidos para agendamiento de citas</t>
  </si>
  <si>
    <t>Pruebas de validación con distintos escenarios y perfiles de usuario</t>
  </si>
  <si>
    <t>Verificación de consistencia entre horarios médicos y horarios disponibles para paciente</t>
  </si>
  <si>
    <t>Sistema funcional que registra automáticamente cada cita nueva agendada por pacientes, con persistencia segura en base de datos y verificación en paneles de administración.</t>
  </si>
  <si>
    <t>Adaptación del formulario de agendamiento para enviar datos completos</t>
  </si>
  <si>
    <t>Diseño del esquema de base de datos para almacenar registros de citas, Implementación de lógica para registrar automáticamente nuevas citas</t>
  </si>
  <si>
    <t>Verificación de integridad y pruebas de persistencia de los registros</t>
  </si>
  <si>
    <t>Validación de consistencia con reportes y paneles administrativos</t>
  </si>
  <si>
    <t>Diseño del botón u opción para “ver primera hora disponible”</t>
  </si>
  <si>
    <t>Funcionalidad integrada que permite a los pacientes consultar la primera hora disponible para cita médica según los filtros aplicados, mejorando la eficiencia del agendamiento.</t>
  </si>
  <si>
    <t>Implementación frontend del botón y su conexión con la lógica de búsqueda</t>
  </si>
  <si>
    <t>Lógica backend para calcular la primera hora libre según filtros aplicados (especialidad, sede, etc.)</t>
  </si>
  <si>
    <t>Pruebas funcionales con distintos escenarios de disponibilidad</t>
  </si>
  <si>
    <t>Validación de funcionamiento en distintos navegadores y dispositivos</t>
  </si>
  <si>
    <t>Diseño visual de la ventana emergente de confirmación de cita</t>
  </si>
  <si>
    <t>Ventana emergente de confirmación implementada y funcional al finalizar una solicitud de cita médica, asegurando al paciente que el proceso fue exitoso.</t>
  </si>
  <si>
    <t>Implementación frontend de la ventana emergente y su activación al finalizar el agendamiento</t>
  </si>
  <si>
    <t>Integración backend para verificar el éxito del agendamiento antes de mostrar el mensaje</t>
  </si>
  <si>
    <t>Pruebas de flujo completo de agendamiento y visualización de confirmación</t>
  </si>
  <si>
    <t>Revisión en diferentes dispositivos y navegadores para asegurar consistencia visual y funcional</t>
  </si>
  <si>
    <t>SPRINT 10</t>
  </si>
  <si>
    <t>Diseño del comprobante con los datos esenciales de la cita (médico, fecha, hora, sede, etc.)</t>
  </si>
  <si>
    <t>Funcionalidad completa para generar, descargar e imprimir un comprobante de cita médica con toda la información relevante, accesible desde la vista de citas y validado en diferentes dispositivos y navegadores.</t>
  </si>
  <si>
    <t>Implementación del botón de “Descargar” y “Imprimir” desde la vista de citas</t>
  </si>
  <si>
    <t>Generación del comprobante en formato PDF con datos dinámicos</t>
  </si>
  <si>
    <t>Pruebas de funcionalidad de descarga e impresión en distintos navegadores</t>
  </si>
  <si>
    <t>Verificación de formato responsive y correcta visualización al imprimir</t>
  </si>
  <si>
    <t>Diseñar botón o enlace que redirija al perfil del médico desde “Citas próximas”</t>
  </si>
  <si>
    <t>Acceso funcional al perfil médico desde una cita agendada</t>
  </si>
  <si>
    <t>Implementar enlace funcional desde la cita al perfil del médico</t>
  </si>
  <si>
    <t>0.5</t>
  </si>
  <si>
    <t>Establecer conexión a la base de datos para extraer la información del médico</t>
  </si>
  <si>
    <t>Verificar correcto enlace, carga del perfil y datos consistentes</t>
  </si>
  <si>
    <t>Diseñar botón o enlace desde “Citas próximas” a “Agendar nueva cita”</t>
  </si>
  <si>
    <t>Botón o enlace funcional desde “Citas próximas” para agendar una nueva cita</t>
  </si>
  <si>
    <t>Implementar redirección a formulario de agendamiento</t>
  </si>
  <si>
    <t>Validar integridad del flujo entre vistas</t>
  </si>
  <si>
    <t>Revisión en conjunto</t>
  </si>
  <si>
    <t>Diseñar sección o vista para historial de citas</t>
  </si>
  <si>
    <t>Listado funcional con historial de citas del paciente</t>
  </si>
  <si>
    <t>Implementar listado de citas anteriores y futuras</t>
  </si>
  <si>
    <t>Conectar a base de datos para recuperar citas por usuario</t>
  </si>
  <si>
    <t>Validar correcta visualización y navegación</t>
  </si>
  <si>
    <t>Diseñar filtros visuales para estados de citas</t>
  </si>
  <si>
    <t>Filtro funcional por estado de cita (tomadas / pendientes)</t>
  </si>
  <si>
    <t>Implementar lógica de filtro dinámico</t>
  </si>
  <si>
    <t>Ajustar base de datos para filtrar según estado</t>
  </si>
  <si>
    <t>Verificar consistencia en el filtrado de datos</t>
  </si>
  <si>
    <t>Diseñar vista con detalle de cada cita (fecha, médico, sede, etc.)</t>
  </si>
  <si>
    <t>Vista detallada para cada cita con toda la información relevante</t>
  </si>
  <si>
    <t>Implementar una redirección a la informacion detallada</t>
  </si>
  <si>
    <t>Obtener y mostrar datos específicos desde la base</t>
  </si>
  <si>
    <t>Verificar integridad y correcta visualización de datos</t>
  </si>
  <si>
    <t>Revisión funcional completa</t>
  </si>
  <si>
    <t>Debe diseñar un botón que referencie a modificar o reprogramar una cita</t>
  </si>
  <si>
    <t>Desarrollar una función para modificar una cita</t>
  </si>
  <si>
    <t>Debe implementar el botón dentro del sistema</t>
  </si>
  <si>
    <t>Debe configurar el sistema y que la base de datos se actualice cuando el paciente realice una modificacion de una cita</t>
  </si>
  <si>
    <t>SPRINT 11</t>
  </si>
  <si>
    <t>Diseñar las intrucciones para que un paciente pueda agregar un familiar al sistema</t>
  </si>
  <si>
    <t>Desarrollar la función para poder añadir un familiar al sistema</t>
  </si>
  <si>
    <t>Desarrollar las intrucciones para agregar un familiar al sistema</t>
  </si>
  <si>
    <t>Agregar la información del familiar a la base de datos</t>
  </si>
  <si>
    <t>Revisar que la función sirva perfectamente</t>
  </si>
  <si>
    <t>Diseñar el diseño del listado que contiene el tipo de información</t>
  </si>
  <si>
    <t>Desplegable del tipo de información a la hora de registrar un nuevo familiar</t>
  </si>
  <si>
    <t>Desarrollar el diseño y la información sobre el tipo de información que se puede escoger</t>
  </si>
  <si>
    <t>Definir la información a seleccionar previamente en el sistema o base de datos</t>
  </si>
  <si>
    <t>Pruebas de despliegue y visualización de la información</t>
  </si>
  <si>
    <t>Diseñar los botones de editar y eliminar</t>
  </si>
  <si>
    <t>Mostrar las funciones para editar la información de un familiar o eliminarlo directamente</t>
  </si>
  <si>
    <t>Desarrolar las funciones que le permitan al paciente editar (un lapiz) o eliminar (un bote de basura). Además de que tiene que salir un mensaje de confirmación de la acción como "¿Desea continuar?"</t>
  </si>
  <si>
    <t>Verificar que en la base de datos la información modificada o eliminada se sucedió correctamente</t>
  </si>
  <si>
    <t>Validar cuando el correo de un familiar ya haya sido registrado en otro</t>
  </si>
  <si>
    <t>Debe de mostrar un mensaje que muestre que el correo esta en un familiar registrado (si aplica)</t>
  </si>
  <si>
    <t>Debe validar dentro si el correo ya esta asociado a un familiar registrado</t>
  </si>
  <si>
    <t>Revisar si la validación funciona</t>
  </si>
  <si>
    <t>Registro de usuario con administrador</t>
  </si>
  <si>
    <t>Diseño de interfaz para la sección de gestión de usuarios (formulario, validaciones)</t>
  </si>
  <si>
    <t>Desarrollo del formulario de registro de usuarios en el frontend</t>
  </si>
  <si>
    <t>Creación de endpoints y lógica para agregar usuarios según tipo</t>
  </si>
  <si>
    <t>Pruebas funcionales de la sección (roles, validaciones, flujos)</t>
  </si>
  <si>
    <t>Verificación de acceso a la sección solo para administradores</t>
  </si>
  <si>
    <t>Duracion</t>
  </si>
  <si>
    <t>Objetivo del Sprint</t>
  </si>
  <si>
    <t>HUs a entregar</t>
  </si>
  <si>
    <t>1 semana</t>
  </si>
  <si>
    <t>Estructurar la interfaz base: menú, panel principal, gestión técnica y horarios.</t>
  </si>
  <si>
    <t>Habilitar el inicio de sesión y fortalecer la gestión de citas y horarios.</t>
  </si>
  <si>
    <t>Incorporar funciones del usuario como perfil, planilla e indicaciones médicas.</t>
  </si>
  <si>
    <t>Integrar navegación, pie de página, certificados y validaciones de formularios.</t>
  </si>
  <si>
    <t>Agregar funcionalidades interactivas: calendario, alertas y citas médicas.</t>
  </si>
  <si>
    <t>Optimizar la gestión médica con validaciones de citas y registro de profesionales.</t>
  </si>
  <si>
    <t>Añadir seguimiento de planilla, familiares y notificaciones.</t>
  </si>
  <si>
    <t>Complementar con soporte técnico, notificaciones e indicaciones.</t>
  </si>
  <si>
    <t>Enfocar en novedades, atención al usuario y notificaciones.</t>
  </si>
  <si>
    <t>Consolidar citas avanzadas, hora prioritaria, planilla y módulos familiares.</t>
  </si>
  <si>
    <t>Automatizar procesos finales: indicaciones, notificaciones y citas automáticas.</t>
  </si>
  <si>
    <t>DIAS SPRINT</t>
  </si>
  <si>
    <t>PUNTOS SPRINT</t>
  </si>
  <si>
    <t>PUNTOS REALES</t>
  </si>
  <si>
    <t>holi :&gt;</t>
  </si>
  <si>
    <t xml:space="preserve">y ese insano </t>
  </si>
  <si>
    <t>tambien se pueden presentar nuevas tareas y se pueden incrementar los puntos</t>
  </si>
  <si>
    <t xml:space="preserve">si eso veo </t>
  </si>
  <si>
    <t>aqui va como el progreso dia tras dia de como transcurren las actividades</t>
  </si>
  <si>
    <t xml:space="preserve">hojala no pase </t>
  </si>
  <si>
    <t>XD?</t>
  </si>
  <si>
    <t>no</t>
  </si>
  <si>
    <t>✖️✖️</t>
  </si>
  <si>
    <t xml:space="preserve">     v</t>
  </si>
  <si>
    <t>😵</t>
  </si>
  <si>
    <t>xd?</t>
  </si>
  <si>
    <t xml:space="preserve">bro la historia numero 2 tiene solo 2 punto sea 8 horas es muy poquito para mi mira tu y me dices que opinas </t>
  </si>
  <si>
    <t>tienes razon</t>
  </si>
  <si>
    <t>le ponemos 1 o 2 mas ?</t>
  </si>
  <si>
    <t xml:space="preserve">si bro se puede liar en el proseso </t>
  </si>
  <si>
    <t xml:space="preserve">sos muy insano </t>
  </si>
  <si>
    <t>digo 3</t>
  </si>
  <si>
    <t>ya lo cambio</t>
  </si>
  <si>
    <t>yo creo que 5 seria mucho</t>
  </si>
  <si>
    <t>Dale</t>
  </si>
  <si>
    <t>hoy puedes estar en la reunion?</t>
  </si>
  <si>
    <t>sip</t>
  </si>
  <si>
    <t>solo se actualiza cuando las tareas pasan a la columna "hecho"</t>
  </si>
  <si>
    <t>se supone que si</t>
  </si>
  <si>
    <t>lo ideal es que lo lleve el Scrum Master (yo merengues)</t>
  </si>
  <si>
    <t>pana 🤗</t>
  </si>
  <si>
    <t>se mantiene cada grafica</t>
  </si>
  <si>
    <t>Es lo ideal para poder explicarte que puedes hacer y que no</t>
  </si>
  <si>
    <t>que pasa bro</t>
  </si>
  <si>
    <t xml:space="preserve">ya lo coloque haya </t>
  </si>
  <si>
    <t xml:space="preserve">en lo que estoy haciendo </t>
  </si>
  <si>
    <t>hay en unos que no hago nada por lo que solo es diseño o es muy nimino</t>
  </si>
  <si>
    <t>meno👍</t>
  </si>
  <si>
    <t xml:space="preserve">meno pues voy a tratar de solo hacer lo que puse no meterme a diseño  </t>
  </si>
  <si>
    <t>👍</t>
  </si>
  <si>
    <t>Daily Scrum – Día 1</t>
  </si>
  <si>
    <t>Fecha: 23 de junio de 2025</t>
  </si>
  <si>
    <t>Duración: 15 minutos</t>
  </si>
  <si>
    <t>Equipo: Equipo MediConnect</t>
  </si>
  <si>
    <t>Moderador: Scrum Master</t>
  </si>
  <si>
    <t>¿Qué hice ayer?</t>
  </si>
  <si>
    <t>¿Qué haré hoy?</t>
  </si>
  <si>
    <t>¿Bloqueos?</t>
  </si>
  <si>
    <t>Andrés (QA, Scrum Master)</t>
  </si>
  <si>
    <t>Espere a mis compañeros a que enviaran su trabajo</t>
  </si>
  <si>
    <t xml:space="preserve">Revisar el trabajo del equipo </t>
  </si>
  <si>
    <t>No</t>
  </si>
  <si>
    <t>Sofía (Diseñadora)</t>
  </si>
  <si>
    <t>Diseñé el formulario de registro con campos básicos</t>
  </si>
  <si>
    <t>Revisar el trabajo del equipo y preparar pruebas para HU13</t>
  </si>
  <si>
    <t>Gerson (Backend)</t>
  </si>
  <si>
    <t xml:space="preserve">
Configuré la base de datos para almacenar datos de registro</t>
  </si>
  <si>
    <t>Implementar la lógica para almacenar datos del formulario (HU13)</t>
  </si>
  <si>
    <t>Juliana (Frontend)</t>
  </si>
  <si>
    <t>Creé la estructura inicial del formulario de registro</t>
  </si>
  <si>
    <t>Integrar el formulario con la API backend para enviar datos y se guarden (HU13)</t>
  </si>
  <si>
    <t>Daily Scrum – Día 2</t>
  </si>
  <si>
    <t>Fecha: 24 de junio de 2025</t>
  </si>
  <si>
    <t>Probé la funcionalidad básica del formulario de registro</t>
  </si>
  <si>
    <t>Preparar casos de prueba para validación de campos en formulario (HU15)</t>
  </si>
  <si>
    <t>Diseñé la pantalla de inicio de sesión y enlace desde registro (HU14)</t>
  </si>
  <si>
    <t>Ajustar estilos para mejorar la navegación entre registro e inicio de sesión</t>
  </si>
  <si>
    <t>Implementé la API para registro de usuarios (HU13)</t>
  </si>
  <si>
    <t>Desarrollar la lógica para validar campos en el backend (HU15)</t>
  </si>
  <si>
    <t>Integré enlace para ir a inicio de sesión desde registro (HU14)</t>
  </si>
  <si>
    <t>Implementar validación de campos en el frontend (HU15)</t>
  </si>
  <si>
    <t>Daily Scrum – Día 3</t>
  </si>
  <si>
    <t>Fecha: 25 de junio de 2025</t>
  </si>
  <si>
    <t>Ejecuté pruebas de validación de campos en formulario</t>
  </si>
  <si>
    <t>Reportar errores encontrados y coordinar correcciones</t>
  </si>
  <si>
    <t>Ajusté el diseño para mensajes de error en validación</t>
  </si>
  <si>
    <t>Colaborar con la encargada del frontend para mostrar mensajes de error claros</t>
  </si>
  <si>
    <t>Implementé validaciones de campos en backend (HU15)</t>
  </si>
  <si>
    <t>Mejorar manejo de errores y respuestas para validación</t>
  </si>
  <si>
    <t>Añadí validación de campos en frontend y mensajes de error (HU15)</t>
  </si>
  <si>
    <t>Revisar integración con backend y corregir errores visuales</t>
  </si>
  <si>
    <t>Daily Scrum – Día 4</t>
  </si>
  <si>
    <t>Fecha: 26 de junio de 2025</t>
  </si>
  <si>
    <t>Probé la política de seguridad para contraseñas (HU17)</t>
  </si>
  <si>
    <t>Preparar documentación y casos de prueba para política de contraseñas</t>
  </si>
  <si>
    <t>Diseñé la interfaz para indicación de requisitos de contraseña (HU17)</t>
  </si>
  <si>
    <t>Ajustar diseño para mejorar usabilidad y claridad</t>
  </si>
  <si>
    <t>Implementé validación de política de contraseñas en backend (HU17)</t>
  </si>
  <si>
    <t>Optimizar lógica y preparar para integración con frontend</t>
  </si>
  <si>
    <t>Añadí validación visual para política de contraseñas (HU17)</t>
  </si>
  <si>
    <t>Integrar validación con backend y pruebas de usuario</t>
  </si>
  <si>
    <t>Daily Scrum – Día 5</t>
  </si>
  <si>
    <t>Fecha: 27 de junio de 2025</t>
  </si>
  <si>
    <t>Realicé pruebas finales de todas las funcionalidades del formulario</t>
  </si>
  <si>
    <t>Preparar reporte final de QA y apoyar en correcciones finales</t>
  </si>
  <si>
    <t>Ajusté detalles de interfaz tras las pruebas de los usuarios</t>
  </si>
  <si>
    <t>Apoyar en documentación y revisión final del diseño</t>
  </si>
  <si>
    <t>Corregí detalles en validaciones y almacenamiento</t>
  </si>
  <si>
    <t>Preparar despliegue y soporte despues del sprint</t>
  </si>
  <si>
    <t>Corregí errores visuales y mejoré experiencia de usuario</t>
  </si>
  <si>
    <t>Revisar feedback final y preparar una demostración para el equipo de trabajp</t>
  </si>
  <si>
    <t xml:space="preserve">Fecha: Sabado 28 de junio de 2025 </t>
  </si>
  <si>
    <t xml:space="preserve">Duración: 45 minutos </t>
  </si>
  <si>
    <t>Participantes: Equipo Scrum (PO, SM, Devs), Stakeholders</t>
  </si>
  <si>
    <r>
      <rPr>
        <i/>
        <sz val="11"/>
        <color rgb="FF000000"/>
        <rFont val="Calibri"/>
        <scheme val="minor"/>
      </rPr>
      <t>Objetivo</t>
    </r>
    <r>
      <rPr>
        <sz val="11"/>
        <color rgb="FF000000"/>
        <rFont val="Calibri"/>
        <scheme val="minor"/>
      </rPr>
      <t>: Revisar el incremento del producto desarrollado durante el Sprint 1 y obtener retroalimentación directa de los interesados.</t>
    </r>
  </si>
  <si>
    <t>Funcionalidades presentadas (Incremento):</t>
  </si>
  <si>
    <t>Funcionalidad entregada</t>
  </si>
  <si>
    <t>Estado</t>
  </si>
  <si>
    <t>✅Completado</t>
  </si>
  <si>
    <t xml:space="preserve">Formulario con validación en tiempo real y mensajes de error útiles
</t>
  </si>
  <si>
    <t>"	Error técnico mostrado adecuadamente al usuario final si el sistema falla."</t>
  </si>
  <si>
    <t>"	Mensaje desplegado correctamente al detectar correo ya registrado, indicando iniciar sesión en su lugar."</t>
  </si>
  <si>
    <t>Demostración:</t>
  </si>
  <si>
    <t xml:space="preserve">• El equipo muestra en la interfaz cómo se registran clientes y se agendan citas. </t>
  </si>
  <si>
    <t xml:space="preserve">• Se genera una factura al simular el cierre de un servicio. </t>
  </si>
  <si>
    <t xml:space="preserve">• Se muestra el panel de administración para crear y desactivar cuentas. </t>
  </si>
  <si>
    <t xml:space="preserve">Retroalimentación de los stakeholders: </t>
  </si>
  <si>
    <t xml:space="preserve">• Stakeholder: “Excelente avance, pero sería útil que la factura incluya también la cédula del cliente.” </t>
  </si>
  <si>
    <t xml:space="preserve">Conclusiones: </t>
  </si>
  <si>
    <t xml:space="preserve">• Se tomarán las sugerencias como mejoras para próximos sprints. </t>
  </si>
  <si>
    <t xml:space="preserve">• Todo lo planeado se completó: ¡Sprint exitoso! </t>
  </si>
  <si>
    <t xml:space="preserve">Duración: 30 minutos </t>
  </si>
  <si>
    <t xml:space="preserve">Participantes: Scrum Master, Equipo de Desarrollo </t>
  </si>
  <si>
    <t xml:space="preserve">Objetivo: </t>
  </si>
  <si>
    <t>Reflexionar sobre el Sprint recién terminado para identificar mejoras.</t>
  </si>
  <si>
    <t xml:space="preserve">Técnica usada: Start – Stop – Continue </t>
  </si>
  <si>
    <t xml:space="preserve">✅ Start (empezar a hacer): </t>
  </si>
  <si>
    <t>• Realizar reuniones para confirmar las funcionalidades</t>
  </si>
  <si>
    <t>• Estar más organizados dentro de la plataforma de JIRA</t>
  </si>
  <si>
    <t xml:space="preserve">🛑Stop (dejar de hacer): </t>
  </si>
  <si>
    <t>• Adelantarse sin seguir el orden establecido</t>
  </si>
  <si>
    <t>• Desarrollar actividades no dadas o en caso de ser así, no avisar al equipo</t>
  </si>
  <si>
    <t xml:space="preserve">🔁Continue (seguir haciendo): </t>
  </si>
  <si>
    <t>• Estar atento a las opiniones y sugerencias del equipo</t>
  </si>
  <si>
    <t xml:space="preserve">• Reuniones de revisión bien enfocadas y útiles. </t>
  </si>
  <si>
    <t xml:space="preserve">Mejora a implementar en el próximo Sprint: </t>
  </si>
  <si>
    <t>• Establecer trabajos de manera más ordenada a cada integrante del equipo</t>
  </si>
  <si>
    <t>• Compartirles a los demás sobre los avances propios o internos</t>
  </si>
  <si>
    <t xml:space="preserve">Acción del Scrum Master: </t>
  </si>
  <si>
    <t>• Crear plantilla de trabajo o información</t>
  </si>
  <si>
    <t>• Estar en constante revisión y comunicación con el equipo de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</si>
</sst>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i/>
      <sz val="11"/>
      <color rgb="FF000000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EB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7D0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2" fillId="2" borderId="0" xfId="0" applyFont="1" applyFill="1"/>
    <xf numFmtId="164" fontId="2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6" borderId="4" xfId="0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13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3" xfId="0" applyFill="1" applyBorder="1" applyAlignment="1">
      <alignment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0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 wrapText="1"/>
    </xf>
    <xf numFmtId="0" fontId="0" fillId="3" borderId="15" xfId="0" applyFill="1" applyBorder="1" applyAlignment="1">
      <alignment vertical="center" wrapText="1"/>
    </xf>
    <xf numFmtId="0" fontId="0" fillId="13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3" borderId="14" xfId="0" applyFill="1" applyBorder="1" applyAlignment="1">
      <alignment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4" xfId="0" applyBorder="1"/>
    <xf numFmtId="0" fontId="0" fillId="9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/>
    </xf>
    <xf numFmtId="0" fontId="8" fillId="2" borderId="0" xfId="0" applyFont="1" applyFill="1"/>
    <xf numFmtId="0" fontId="0" fillId="0" borderId="4" xfId="0" applyBorder="1" applyAlignment="1">
      <alignment wrapText="1"/>
    </xf>
    <xf numFmtId="0" fontId="0" fillId="2" borderId="4" xfId="0" applyFill="1" applyBorder="1"/>
    <xf numFmtId="1" fontId="0" fillId="0" borderId="0" xfId="0" applyNumberFormat="1"/>
    <xf numFmtId="1" fontId="0" fillId="0" borderId="4" xfId="0" applyNumberFormat="1" applyBorder="1"/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9" xfId="0" applyFill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6" xfId="0" applyBorder="1"/>
    <xf numFmtId="0" fontId="0" fillId="0" borderId="26" xfId="0" applyBorder="1" applyAlignment="1">
      <alignment horizontal="left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5" xfId="0" applyBorder="1"/>
    <xf numFmtId="0" fontId="0" fillId="0" borderId="5" xfId="0" applyBorder="1"/>
    <xf numFmtId="0" fontId="0" fillId="0" borderId="24" xfId="0" applyBorder="1"/>
    <xf numFmtId="0" fontId="0" fillId="8" borderId="31" xfId="0" applyFill="1" applyBorder="1"/>
    <xf numFmtId="0" fontId="0" fillId="8" borderId="32" xfId="0" applyFill="1" applyBorder="1"/>
    <xf numFmtId="0" fontId="0" fillId="8" borderId="33" xfId="0" applyFill="1" applyBorder="1"/>
    <xf numFmtId="0" fontId="0" fillId="15" borderId="4" xfId="0" applyFill="1" applyBorder="1"/>
    <xf numFmtId="0" fontId="0" fillId="13" borderId="4" xfId="0" applyFill="1" applyBorder="1"/>
    <xf numFmtId="0" fontId="0" fillId="7" borderId="4" xfId="0" applyFill="1" applyBorder="1"/>
    <xf numFmtId="0" fontId="0" fillId="15" borderId="28" xfId="0" applyFill="1" applyBorder="1"/>
    <xf numFmtId="0" fontId="0" fillId="0" borderId="26" xfId="0" applyBorder="1" applyAlignment="1">
      <alignment horizontal="left" vertical="center" wrapText="1"/>
    </xf>
    <xf numFmtId="0" fontId="0" fillId="0" borderId="26" xfId="0" applyBorder="1" applyAlignment="1">
      <alignment vertical="center" wrapText="1"/>
    </xf>
    <xf numFmtId="0" fontId="0" fillId="0" borderId="28" xfId="0" applyBorder="1" applyAlignment="1">
      <alignment horizontal="left" vertical="center" wrapText="1"/>
    </xf>
    <xf numFmtId="0" fontId="0" fillId="0" borderId="29" xfId="0" applyBorder="1" applyAlignment="1">
      <alignment horizontal="left"/>
    </xf>
    <xf numFmtId="0" fontId="0" fillId="0" borderId="36" xfId="0" applyBorder="1"/>
    <xf numFmtId="0" fontId="0" fillId="0" borderId="26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30" xfId="0" applyBorder="1" applyAlignment="1">
      <alignment horizontal="left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41" xfId="0" applyBorder="1"/>
    <xf numFmtId="0" fontId="7" fillId="0" borderId="4" xfId="0" applyFont="1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" xfId="0" applyBorder="1" applyAlignment="1">
      <alignment vertical="center"/>
    </xf>
    <xf numFmtId="0" fontId="0" fillId="5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7" fillId="0" borderId="50" xfId="0" applyFont="1" applyBorder="1"/>
    <xf numFmtId="0" fontId="7" fillId="0" borderId="19" xfId="0" applyFont="1" applyBorder="1"/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8" borderId="31" xfId="0" applyFill="1" applyBorder="1" applyAlignment="1">
      <alignment horizontal="center" vertical="center" wrapText="1"/>
    </xf>
    <xf numFmtId="0" fontId="0" fillId="8" borderId="32" xfId="0" applyFill="1" applyBorder="1" applyAlignment="1">
      <alignment horizontal="center" vertical="center" wrapText="1"/>
    </xf>
    <xf numFmtId="0" fontId="0" fillId="8" borderId="33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164" fontId="0" fillId="2" borderId="4" xfId="0" applyNumberFormat="1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164" fontId="0" fillId="2" borderId="57" xfId="0" applyNumberForma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164" fontId="0" fillId="16" borderId="1" xfId="0" applyNumberFormat="1" applyFill="1" applyBorder="1" applyAlignment="1">
      <alignment horizontal="center" vertical="center" wrapText="1"/>
    </xf>
    <xf numFmtId="0" fontId="0" fillId="0" borderId="19" xfId="0" applyBorder="1"/>
    <xf numFmtId="0" fontId="5" fillId="2" borderId="4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12" borderId="6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/>
    </xf>
    <xf numFmtId="0" fontId="0" fillId="4" borderId="0" xfId="0" applyFill="1" applyAlignment="1">
      <alignment horizontal="center"/>
    </xf>
    <xf numFmtId="0" fontId="0" fillId="13" borderId="6" xfId="0" applyFill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2" fillId="15" borderId="21" xfId="0" applyFont="1" applyFill="1" applyBorder="1" applyAlignment="1">
      <alignment horizontal="center"/>
    </xf>
    <xf numFmtId="0" fontId="2" fillId="15" borderId="22" xfId="0" applyFont="1" applyFill="1" applyBorder="1" applyAlignment="1">
      <alignment horizontal="center"/>
    </xf>
    <xf numFmtId="0" fontId="2" fillId="15" borderId="23" xfId="0" applyFont="1" applyFill="1" applyBorder="1" applyAlignment="1">
      <alignment horizontal="center"/>
    </xf>
    <xf numFmtId="0" fontId="0" fillId="2" borderId="16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0" fillId="2" borderId="51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0" fillId="2" borderId="54" xfId="0" applyFill="1" applyBorder="1" applyAlignment="1">
      <alignment horizontal="center" vertical="center" wrapText="1"/>
    </xf>
    <xf numFmtId="0" fontId="0" fillId="2" borderId="53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 wrapText="1"/>
    </xf>
    <xf numFmtId="0" fontId="0" fillId="0" borderId="40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6" fillId="0" borderId="34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left" vertical="center" wrapText="1"/>
    </xf>
    <xf numFmtId="0" fontId="6" fillId="0" borderId="39" xfId="0" applyFont="1" applyBorder="1" applyAlignment="1">
      <alignment horizontal="left" vertical="center" wrapText="1"/>
    </xf>
    <xf numFmtId="0" fontId="0" fillId="0" borderId="34" xfId="0" applyBorder="1" applyAlignment="1">
      <alignment horizontal="left" wrapText="1"/>
    </xf>
    <xf numFmtId="0" fontId="0" fillId="0" borderId="35" xfId="0" applyBorder="1" applyAlignment="1">
      <alignment horizontal="left" wrapText="1"/>
    </xf>
    <xf numFmtId="0" fontId="0" fillId="0" borderId="36" xfId="0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0" fillId="0" borderId="38" xfId="0" applyBorder="1" applyAlignment="1">
      <alignment horizontal="left" wrapText="1"/>
    </xf>
    <xf numFmtId="0" fontId="0" fillId="0" borderId="39" xfId="0" applyBorder="1" applyAlignment="1">
      <alignment horizontal="left" wrapText="1"/>
    </xf>
    <xf numFmtId="0" fontId="0" fillId="0" borderId="27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28" xfId="0" applyBorder="1" applyAlignment="1">
      <alignment horizontal="left"/>
    </xf>
    <xf numFmtId="0" fontId="1" fillId="0" borderId="11" xfId="0" applyFont="1" applyBorder="1"/>
    <xf numFmtId="0" fontId="1" fillId="0" borderId="0" xfId="0" applyFont="1"/>
    <xf numFmtId="0" fontId="1" fillId="0" borderId="11" xfId="0" applyFont="1" applyBorder="1" applyAlignment="1">
      <alignment vertical="center"/>
    </xf>
    <xf numFmtId="0" fontId="1" fillId="0" borderId="13" xfId="0" applyFont="1" applyBorder="1"/>
    <xf numFmtId="0" fontId="1" fillId="0" borderId="48" xfId="0" applyFont="1" applyBorder="1"/>
    <xf numFmtId="0" fontId="1" fillId="0" borderId="49" xfId="0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43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0" xfId="0" applyFont="1" applyBorder="1"/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EB5"/>
      <color rgb="FFD9FFFF"/>
      <color rgb="FFFFFD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'BurnDown Chart'!$C$2</c:f>
              <c:strCache>
                <c:ptCount val="1"/>
                <c:pt idx="0">
                  <c:v>PUNTOS SPRINT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'BurnDown Chart'!$B$3:$B$7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'BurnDown Chart'!$C$3:$C$7</c:f>
              <c:numCache>
                <c:formatCode>0</c:formatCode>
                <c:ptCount val="5"/>
                <c:pt idx="0" formatCode="General">
                  <c:v>19</c:v>
                </c:pt>
                <c:pt idx="1">
                  <c:v>15.2</c:v>
                </c:pt>
                <c:pt idx="2">
                  <c:v>11.399999999999999</c:v>
                </c:pt>
                <c:pt idx="3">
                  <c:v>7.5999999999999988</c:v>
                </c:pt>
                <c:pt idx="4">
                  <c:v>3.7999999999999989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7E-415C-B10D-37E7D4676ADC}"/>
            </c:ext>
          </c:extLst>
        </c:ser>
        <c:ser>
          <c:idx val="1"/>
          <c:order val="1"/>
          <c:tx>
            <c:strRef>
              <c:f>'BurnDown Chart'!$D$2</c:f>
              <c:strCache>
                <c:ptCount val="1"/>
                <c:pt idx="0">
                  <c:v>PUNTOS REALES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'BurnDown Chart'!$B$3:$B$7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'BurnDown Chart'!$D$3:$D$7</c:f>
              <c:numCache>
                <c:formatCode>General</c:formatCode>
                <c:ptCount val="5"/>
                <c:pt idx="0">
                  <c:v>19</c:v>
                </c:pt>
                <c:pt idx="1">
                  <c:v>14</c:v>
                </c:pt>
                <c:pt idx="2">
                  <c:v>10</c:v>
                </c:pt>
                <c:pt idx="3">
                  <c:v>6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7E-415C-B10D-37E7D4676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361095"/>
        <c:axId val="1566650375"/>
      </c:scatterChart>
      <c:valAx>
        <c:axId val="1566361095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DIAS 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50375"/>
        <c:crosses val="autoZero"/>
        <c:crossBetween val="midCat"/>
      </c:valAx>
      <c:valAx>
        <c:axId val="1566650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PUNTOS 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61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'BurnDown Chart anotaciones'!$E$1</c:f>
              <c:strCache>
                <c:ptCount val="1"/>
                <c:pt idx="0">
                  <c:v>PUNTOS SPRINT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'BurnDown Chart anotaciones'!$D$2:$D$6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'BurnDown Chart anotaciones'!$E$2:$E$6</c:f>
              <c:numCache>
                <c:formatCode>0</c:formatCode>
                <c:ptCount val="5"/>
                <c:pt idx="0" formatCode="General">
                  <c:v>12</c:v>
                </c:pt>
                <c:pt idx="1">
                  <c:v>9.6</c:v>
                </c:pt>
                <c:pt idx="2">
                  <c:v>7.1999999999999993</c:v>
                </c:pt>
                <c:pt idx="3">
                  <c:v>4.7999999999999989</c:v>
                </c:pt>
                <c:pt idx="4">
                  <c:v>2.399999999999999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AC-4EAB-BF69-4BA049101CF6}"/>
            </c:ext>
          </c:extLst>
        </c:ser>
        <c:ser>
          <c:idx val="1"/>
          <c:order val="1"/>
          <c:tx>
            <c:strRef>
              <c:f>'BurnDown Chart anotaciones'!$F$1</c:f>
              <c:strCache>
                <c:ptCount val="1"/>
                <c:pt idx="0">
                  <c:v>PUNTOS REALES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'BurnDown Chart anotaciones'!$D$2:$D$6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'BurnDown Chart anotaciones'!$F$2:$F$6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AC-4EAB-BF69-4BA049101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361095"/>
        <c:axId val="1566650375"/>
      </c:scatterChart>
      <c:valAx>
        <c:axId val="1566361095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DIAS 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50375"/>
        <c:crosses val="autoZero"/>
        <c:crossBetween val="midCat"/>
      </c:valAx>
      <c:valAx>
        <c:axId val="1566650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PUNTOS 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61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171450</xdr:rowOff>
    </xdr:from>
    <xdr:to>
      <xdr:col>6</xdr:col>
      <xdr:colOff>533400</xdr:colOff>
      <xdr:row>21</xdr:row>
      <xdr:rowOff>171450</xdr:rowOff>
    </xdr:to>
    <xdr:graphicFrame macro="">
      <xdr:nvGraphicFramePr>
        <xdr:cNvPr id="12" name="Gráfico 8">
          <a:extLst>
            <a:ext uri="{FF2B5EF4-FFF2-40B4-BE49-F238E27FC236}">
              <a16:creationId xmlns:a16="http://schemas.microsoft.com/office/drawing/2014/main" id="{4346F7EA-A8F2-49DB-B478-ADAFCDC916DC}"/>
            </a:ext>
            <a:ext uri="{147F2762-F138-4A5C-976F-8EAC2B608ADB}">
              <a16:predDERef xmlns:a16="http://schemas.microsoft.com/office/drawing/2014/main" pred="{D45783F2-C117-D1C1-6F5D-DCEC12D5D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0</xdr:rowOff>
    </xdr:from>
    <xdr:to>
      <xdr:col>6</xdr:col>
      <xdr:colOff>1990725</xdr:colOff>
      <xdr:row>25</xdr:row>
      <xdr:rowOff>171450</xdr:rowOff>
    </xdr:to>
    <xdr:graphicFrame macro="">
      <xdr:nvGraphicFramePr>
        <xdr:cNvPr id="57" name="Gráfico 8">
          <a:extLst>
            <a:ext uri="{FF2B5EF4-FFF2-40B4-BE49-F238E27FC236}">
              <a16:creationId xmlns:a16="http://schemas.microsoft.com/office/drawing/2014/main" id="{82F02047-231A-48BF-8A9D-3262B583F06C}"/>
            </a:ext>
            <a:ext uri="{147F2762-F138-4A5C-976F-8EAC2B608ADB}">
              <a16:predDERef xmlns:a16="http://schemas.microsoft.com/office/drawing/2014/main" pred="{D45783F2-C117-D1C1-6F5D-DCEC12D5D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504A-1B2F-4FBC-9BA7-FF100FA38F69}">
  <dimension ref="A1:G88"/>
  <sheetViews>
    <sheetView topLeftCell="A2" zoomScale="85" zoomScaleNormal="85" workbookViewId="0">
      <selection activeCell="D79" sqref="D79"/>
    </sheetView>
  </sheetViews>
  <sheetFormatPr defaultColWidth="11.42578125" defaultRowHeight="15"/>
  <cols>
    <col min="1" max="1" width="25.42578125" style="32" customWidth="1"/>
    <col min="2" max="2" width="6.28515625" style="32" bestFit="1" customWidth="1"/>
    <col min="3" max="3" width="21.28515625" style="20" customWidth="1"/>
    <col min="4" max="4" width="75.5703125" style="20" customWidth="1"/>
    <col min="5" max="5" width="78.7109375" style="20" customWidth="1"/>
    <col min="6" max="6" width="11.42578125" style="20"/>
    <col min="7" max="7" width="22.7109375" style="20" customWidth="1"/>
    <col min="8" max="16384" width="11.42578125" style="20"/>
  </cols>
  <sheetData>
    <row r="1" spans="1:7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</row>
    <row r="2" spans="1:7" ht="255.75">
      <c r="A2" s="107" t="s">
        <v>5</v>
      </c>
      <c r="B2" s="17" t="s">
        <v>6</v>
      </c>
      <c r="C2" s="35" t="s">
        <v>7</v>
      </c>
      <c r="D2" s="17" t="s">
        <v>8</v>
      </c>
      <c r="E2" s="17" t="s">
        <v>9</v>
      </c>
      <c r="G2" s="37" t="s">
        <v>10</v>
      </c>
    </row>
    <row r="3" spans="1:7">
      <c r="B3" s="20"/>
    </row>
    <row r="4" spans="1:7" ht="68.25">
      <c r="A4" s="162" t="s">
        <v>11</v>
      </c>
      <c r="B4" s="2" t="s">
        <v>12</v>
      </c>
      <c r="C4" s="18" t="s">
        <v>13</v>
      </c>
      <c r="D4" s="17" t="s">
        <v>14</v>
      </c>
      <c r="E4" s="36" t="s">
        <v>15</v>
      </c>
    </row>
    <row r="5" spans="1:7" ht="94.5">
      <c r="A5" s="162"/>
      <c r="B5" s="2" t="s">
        <v>16</v>
      </c>
      <c r="C5" s="18" t="s">
        <v>17</v>
      </c>
      <c r="D5" s="17" t="s">
        <v>18</v>
      </c>
      <c r="E5" s="17" t="s">
        <v>19</v>
      </c>
    </row>
    <row r="6" spans="1:7" ht="54.75">
      <c r="A6" s="162"/>
      <c r="B6" s="2" t="s">
        <v>20</v>
      </c>
      <c r="C6" s="17" t="s">
        <v>21</v>
      </c>
      <c r="D6" s="17" t="s">
        <v>22</v>
      </c>
      <c r="E6" s="17" t="s">
        <v>23</v>
      </c>
    </row>
    <row r="7" spans="1:7">
      <c r="B7" s="4"/>
      <c r="C7" s="4"/>
      <c r="D7" s="4"/>
      <c r="E7" s="4"/>
    </row>
    <row r="8" spans="1:7" ht="41.25">
      <c r="A8" s="107" t="s">
        <v>24</v>
      </c>
      <c r="B8" s="17" t="s">
        <v>25</v>
      </c>
      <c r="C8" s="18" t="s">
        <v>26</v>
      </c>
      <c r="D8" s="17" t="s">
        <v>27</v>
      </c>
      <c r="E8" s="17" t="s">
        <v>28</v>
      </c>
    </row>
    <row r="9" spans="1:7">
      <c r="B9" s="4"/>
      <c r="C9" s="4"/>
      <c r="D9" s="4"/>
      <c r="E9" s="4"/>
    </row>
    <row r="10" spans="1:7" ht="41.25">
      <c r="A10" s="34" t="s">
        <v>29</v>
      </c>
      <c r="B10" s="2" t="s">
        <v>30</v>
      </c>
      <c r="C10" s="18" t="s">
        <v>31</v>
      </c>
      <c r="D10" s="2" t="s">
        <v>32</v>
      </c>
      <c r="E10" s="17" t="s">
        <v>33</v>
      </c>
    </row>
    <row r="11" spans="1:7" s="4" customFormat="1">
      <c r="A11" s="31"/>
      <c r="B11" s="31"/>
      <c r="C11" s="31"/>
    </row>
    <row r="12" spans="1:7" ht="94.5">
      <c r="A12" s="165" t="s">
        <v>34</v>
      </c>
      <c r="B12" s="2" t="s">
        <v>35</v>
      </c>
      <c r="C12" s="18" t="s">
        <v>36</v>
      </c>
      <c r="D12" s="17" t="s">
        <v>37</v>
      </c>
      <c r="E12" s="17" t="s">
        <v>38</v>
      </c>
    </row>
    <row r="13" spans="1:7" ht="68.25">
      <c r="A13" s="161"/>
      <c r="B13" s="2" t="s">
        <v>39</v>
      </c>
      <c r="C13" s="18" t="s">
        <v>40</v>
      </c>
      <c r="D13" s="17" t="s">
        <v>41</v>
      </c>
      <c r="E13" s="17" t="s">
        <v>42</v>
      </c>
    </row>
    <row r="14" spans="1:7">
      <c r="B14" s="4"/>
      <c r="C14" s="4"/>
      <c r="D14" s="4"/>
      <c r="E14" s="4"/>
    </row>
    <row r="15" spans="1:7" ht="54.75">
      <c r="A15" s="34" t="s">
        <v>43</v>
      </c>
      <c r="B15" s="2" t="s">
        <v>44</v>
      </c>
      <c r="C15" s="18" t="s">
        <v>45</v>
      </c>
      <c r="D15" s="17" t="s">
        <v>46</v>
      </c>
      <c r="E15" s="17" t="s">
        <v>47</v>
      </c>
    </row>
    <row r="16" spans="1:7">
      <c r="B16" s="4"/>
      <c r="C16" s="4"/>
      <c r="D16" s="4"/>
      <c r="E16" s="4"/>
    </row>
    <row r="17" spans="1:5" ht="54.75">
      <c r="A17" s="161" t="s">
        <v>48</v>
      </c>
      <c r="B17" s="2" t="s">
        <v>49</v>
      </c>
      <c r="C17" s="17" t="s">
        <v>50</v>
      </c>
      <c r="D17" s="17" t="s">
        <v>51</v>
      </c>
      <c r="E17" s="17" t="s">
        <v>52</v>
      </c>
    </row>
    <row r="18" spans="1:5" ht="41.25">
      <c r="A18" s="161"/>
      <c r="B18" s="2" t="s">
        <v>53</v>
      </c>
      <c r="C18" s="17" t="s">
        <v>54</v>
      </c>
      <c r="D18" s="17" t="s">
        <v>55</v>
      </c>
      <c r="E18" s="17" t="s">
        <v>56</v>
      </c>
    </row>
    <row r="19" spans="1:5" ht="54.75">
      <c r="A19" s="161"/>
      <c r="B19" s="2" t="s">
        <v>57</v>
      </c>
      <c r="C19" s="17" t="s">
        <v>58</v>
      </c>
      <c r="D19" s="17" t="s">
        <v>59</v>
      </c>
      <c r="E19" s="17" t="s">
        <v>60</v>
      </c>
    </row>
    <row r="20" spans="1:5" ht="54.75">
      <c r="A20" s="161"/>
      <c r="B20" s="2" t="s">
        <v>61</v>
      </c>
      <c r="C20" s="17" t="s">
        <v>62</v>
      </c>
      <c r="D20" s="17" t="s">
        <v>63</v>
      </c>
      <c r="E20" s="17" t="s">
        <v>64</v>
      </c>
    </row>
    <row r="21" spans="1:5" ht="54.75">
      <c r="A21" s="161"/>
      <c r="B21" s="2" t="s">
        <v>65</v>
      </c>
      <c r="C21" s="17" t="s">
        <v>66</v>
      </c>
      <c r="D21" s="17" t="s">
        <v>67</v>
      </c>
      <c r="E21" s="17" t="s">
        <v>68</v>
      </c>
    </row>
    <row r="22" spans="1:5">
      <c r="B22" s="4"/>
      <c r="C22" s="4"/>
      <c r="D22" s="4"/>
      <c r="E22" s="4"/>
    </row>
    <row r="23" spans="1:5" ht="175.5">
      <c r="A23" s="165" t="s">
        <v>69</v>
      </c>
      <c r="B23" s="2" t="s">
        <v>70</v>
      </c>
      <c r="C23" s="18" t="s">
        <v>71</v>
      </c>
      <c r="D23" s="17" t="s">
        <v>72</v>
      </c>
      <c r="E23" s="17" t="s">
        <v>73</v>
      </c>
    </row>
    <row r="24" spans="1:5" ht="54.75">
      <c r="A24" s="161"/>
      <c r="B24" s="2" t="s">
        <v>74</v>
      </c>
      <c r="C24" s="18" t="s">
        <v>75</v>
      </c>
      <c r="D24" s="17" t="s">
        <v>76</v>
      </c>
      <c r="E24" s="17" t="s">
        <v>77</v>
      </c>
    </row>
    <row r="25" spans="1:5">
      <c r="B25" s="20"/>
    </row>
    <row r="26" spans="1:5">
      <c r="A26" s="31"/>
      <c r="B26" s="20"/>
    </row>
    <row r="27" spans="1:5" ht="54.75">
      <c r="A27" s="163" t="s">
        <v>78</v>
      </c>
      <c r="B27" s="2" t="s">
        <v>79</v>
      </c>
      <c r="C27" s="18" t="s">
        <v>80</v>
      </c>
      <c r="D27" s="17" t="s">
        <v>81</v>
      </c>
      <c r="E27" s="17" t="s">
        <v>82</v>
      </c>
    </row>
    <row r="28" spans="1:5" ht="94.5">
      <c r="A28" s="163"/>
      <c r="B28" s="2" t="s">
        <v>83</v>
      </c>
      <c r="C28" s="18" t="s">
        <v>84</v>
      </c>
      <c r="D28" s="17" t="s">
        <v>85</v>
      </c>
      <c r="E28" s="17" t="s">
        <v>86</v>
      </c>
    </row>
    <row r="29" spans="1:5" ht="68.25">
      <c r="A29" s="164"/>
      <c r="B29" s="2" t="s">
        <v>87</v>
      </c>
      <c r="C29" s="18" t="s">
        <v>88</v>
      </c>
      <c r="D29" s="114" t="s">
        <v>89</v>
      </c>
      <c r="E29" s="17" t="s">
        <v>90</v>
      </c>
    </row>
    <row r="30" spans="1:5">
      <c r="A30" s="31"/>
      <c r="B30" s="28"/>
      <c r="C30" s="14"/>
      <c r="D30" s="33"/>
      <c r="E30" s="33"/>
    </row>
    <row r="31" spans="1:5" ht="54.75">
      <c r="A31" s="108" t="s">
        <v>91</v>
      </c>
      <c r="B31" s="2" t="s">
        <v>92</v>
      </c>
      <c r="C31" s="18" t="s">
        <v>93</v>
      </c>
      <c r="D31" s="17" t="s">
        <v>94</v>
      </c>
      <c r="E31" s="17" t="s">
        <v>95</v>
      </c>
    </row>
    <row r="32" spans="1:5">
      <c r="B32" s="31"/>
      <c r="C32" s="31"/>
      <c r="D32" s="4"/>
      <c r="E32" s="4"/>
    </row>
    <row r="33" spans="1:5" ht="68.25">
      <c r="A33" s="108" t="s">
        <v>96</v>
      </c>
      <c r="B33" s="2" t="s">
        <v>97</v>
      </c>
      <c r="C33" s="18" t="s">
        <v>98</v>
      </c>
      <c r="D33" s="17" t="s">
        <v>99</v>
      </c>
      <c r="E33" s="17" t="s">
        <v>100</v>
      </c>
    </row>
    <row r="34" spans="1:5">
      <c r="B34" s="31"/>
      <c r="C34" s="31"/>
      <c r="D34" s="4"/>
      <c r="E34" s="4"/>
    </row>
    <row r="35" spans="1:5" ht="68.25">
      <c r="A35" s="163" t="s">
        <v>101</v>
      </c>
      <c r="B35" s="2" t="s">
        <v>102</v>
      </c>
      <c r="C35" s="18" t="s">
        <v>103</v>
      </c>
      <c r="D35" s="17" t="s">
        <v>104</v>
      </c>
      <c r="E35" s="17" t="s">
        <v>105</v>
      </c>
    </row>
    <row r="36" spans="1:5" ht="41.25">
      <c r="A36" s="164"/>
      <c r="B36" s="2" t="s">
        <v>106</v>
      </c>
      <c r="C36" s="28" t="s">
        <v>107</v>
      </c>
      <c r="D36" s="33" t="s">
        <v>108</v>
      </c>
      <c r="E36" s="33" t="s">
        <v>109</v>
      </c>
    </row>
    <row r="37" spans="1:5">
      <c r="B37" s="40"/>
      <c r="C37" s="40"/>
      <c r="D37" s="41"/>
      <c r="E37" s="41"/>
    </row>
    <row r="38" spans="1:5" ht="68.25">
      <c r="A38" s="170" t="s">
        <v>110</v>
      </c>
      <c r="B38" s="2" t="s">
        <v>111</v>
      </c>
      <c r="C38" s="18" t="s">
        <v>112</v>
      </c>
      <c r="D38" s="17" t="s">
        <v>113</v>
      </c>
      <c r="E38" s="17" t="s">
        <v>114</v>
      </c>
    </row>
    <row r="39" spans="1:5" ht="54.75">
      <c r="A39" s="171"/>
      <c r="B39" s="2" t="s">
        <v>115</v>
      </c>
      <c r="C39" s="19" t="s">
        <v>116</v>
      </c>
      <c r="D39" s="38" t="s">
        <v>117</v>
      </c>
      <c r="E39" s="38" t="s">
        <v>118</v>
      </c>
    </row>
    <row r="40" spans="1:5">
      <c r="B40" s="40"/>
      <c r="C40" s="40"/>
      <c r="D40" s="41"/>
      <c r="E40" s="41"/>
    </row>
    <row r="41" spans="1:5" ht="68.25">
      <c r="A41" s="44" t="s">
        <v>119</v>
      </c>
      <c r="B41" s="2" t="s">
        <v>120</v>
      </c>
      <c r="C41" s="21" t="s">
        <v>121</v>
      </c>
      <c r="D41" s="21" t="s">
        <v>122</v>
      </c>
      <c r="E41" s="21" t="s">
        <v>123</v>
      </c>
    </row>
    <row r="42" spans="1:5">
      <c r="B42" s="40"/>
      <c r="C42" s="40"/>
      <c r="D42" s="41"/>
      <c r="E42" s="41"/>
    </row>
    <row r="43" spans="1:5" ht="68.25">
      <c r="A43" s="172" t="s">
        <v>124</v>
      </c>
      <c r="B43" s="2" t="s">
        <v>125</v>
      </c>
      <c r="C43" s="21" t="s">
        <v>126</v>
      </c>
      <c r="D43" s="21" t="s">
        <v>127</v>
      </c>
      <c r="E43" s="21" t="s">
        <v>128</v>
      </c>
    </row>
    <row r="44" spans="1:5" ht="54.75">
      <c r="A44" s="172"/>
      <c r="B44" s="2" t="s">
        <v>129</v>
      </c>
      <c r="C44" s="21" t="s">
        <v>130</v>
      </c>
      <c r="D44" s="21" t="s">
        <v>131</v>
      </c>
      <c r="E44" s="21" t="s">
        <v>132</v>
      </c>
    </row>
    <row r="45" spans="1:5" ht="41.25">
      <c r="A45" s="172"/>
      <c r="B45" s="2" t="s">
        <v>133</v>
      </c>
      <c r="C45" s="18" t="s">
        <v>134</v>
      </c>
      <c r="D45" s="17" t="s">
        <v>135</v>
      </c>
      <c r="E45" s="17" t="s">
        <v>136</v>
      </c>
    </row>
    <row r="47" spans="1:5" ht="54.75">
      <c r="A47" s="39" t="s">
        <v>137</v>
      </c>
      <c r="B47" s="2" t="s">
        <v>138</v>
      </c>
      <c r="C47" s="21" t="s">
        <v>139</v>
      </c>
      <c r="D47" s="21" t="s">
        <v>140</v>
      </c>
      <c r="E47" s="21" t="s">
        <v>141</v>
      </c>
    </row>
    <row r="48" spans="1:5">
      <c r="B48" s="20"/>
    </row>
    <row r="49" spans="1:5" ht="41.25">
      <c r="A49" s="172" t="s">
        <v>142</v>
      </c>
      <c r="B49" s="2" t="s">
        <v>143</v>
      </c>
      <c r="C49" s="21" t="s">
        <v>144</v>
      </c>
      <c r="D49" s="21" t="s">
        <v>145</v>
      </c>
      <c r="E49" s="21" t="s">
        <v>146</v>
      </c>
    </row>
    <row r="50" spans="1:5" ht="54.75">
      <c r="A50" s="172"/>
      <c r="B50" s="2" t="s">
        <v>147</v>
      </c>
      <c r="C50" s="21" t="s">
        <v>148</v>
      </c>
      <c r="D50" s="21" t="s">
        <v>149</v>
      </c>
      <c r="E50" s="21" t="s">
        <v>150</v>
      </c>
    </row>
    <row r="51" spans="1:5" ht="41.25">
      <c r="A51" s="172"/>
      <c r="B51" s="2" t="s">
        <v>151</v>
      </c>
      <c r="C51" s="21" t="s">
        <v>152</v>
      </c>
      <c r="D51" s="21" t="s">
        <v>153</v>
      </c>
      <c r="E51" s="21" t="s">
        <v>154</v>
      </c>
    </row>
    <row r="52" spans="1:5" ht="41.25">
      <c r="A52" s="172"/>
      <c r="B52" s="2" t="s">
        <v>155</v>
      </c>
      <c r="C52" s="21" t="s">
        <v>156</v>
      </c>
      <c r="D52" s="21" t="s">
        <v>157</v>
      </c>
      <c r="E52" s="21" t="s">
        <v>158</v>
      </c>
    </row>
    <row r="53" spans="1:5" ht="41.25">
      <c r="A53" s="172"/>
      <c r="B53" s="2" t="s">
        <v>159</v>
      </c>
      <c r="C53" s="21" t="s">
        <v>160</v>
      </c>
      <c r="D53" s="21" t="s">
        <v>161</v>
      </c>
      <c r="E53" s="21" t="s">
        <v>162</v>
      </c>
    </row>
    <row r="55" spans="1:5" ht="54.75">
      <c r="A55" s="172" t="s">
        <v>163</v>
      </c>
      <c r="B55" s="2" t="s">
        <v>164</v>
      </c>
      <c r="C55" s="21" t="s">
        <v>165</v>
      </c>
      <c r="D55" s="21" t="s">
        <v>166</v>
      </c>
      <c r="E55" s="21" t="s">
        <v>167</v>
      </c>
    </row>
    <row r="56" spans="1:5" ht="41.25">
      <c r="A56" s="172"/>
      <c r="B56" s="2" t="s">
        <v>168</v>
      </c>
      <c r="C56" s="21" t="s">
        <v>169</v>
      </c>
      <c r="D56" s="21" t="s">
        <v>170</v>
      </c>
      <c r="E56" s="21" t="s">
        <v>171</v>
      </c>
    </row>
    <row r="57" spans="1:5" ht="41.25">
      <c r="A57" s="172"/>
      <c r="B57" s="2" t="s">
        <v>172</v>
      </c>
      <c r="C57" s="21" t="s">
        <v>173</v>
      </c>
      <c r="D57" s="127" t="s">
        <v>174</v>
      </c>
      <c r="E57" s="21" t="s">
        <v>175</v>
      </c>
    </row>
    <row r="59" spans="1:5" ht="228.75">
      <c r="A59" s="172" t="s">
        <v>176</v>
      </c>
      <c r="B59" s="2" t="s">
        <v>177</v>
      </c>
      <c r="C59" s="18" t="s">
        <v>178</v>
      </c>
      <c r="D59" s="17" t="s">
        <v>179</v>
      </c>
      <c r="E59" s="17" t="s">
        <v>180</v>
      </c>
    </row>
    <row r="60" spans="1:5" ht="54.75">
      <c r="A60" s="172"/>
      <c r="B60" s="2" t="s">
        <v>181</v>
      </c>
      <c r="C60" s="18" t="s">
        <v>182</v>
      </c>
      <c r="D60" s="17" t="s">
        <v>183</v>
      </c>
      <c r="E60" s="17" t="s">
        <v>184</v>
      </c>
    </row>
    <row r="61" spans="1:5" ht="54.75">
      <c r="A61" s="172"/>
      <c r="B61" s="2" t="s">
        <v>185</v>
      </c>
      <c r="C61" s="18" t="s">
        <v>186</v>
      </c>
      <c r="D61" s="17" t="s">
        <v>187</v>
      </c>
      <c r="E61" s="17" t="s">
        <v>188</v>
      </c>
    </row>
    <row r="63" spans="1:5" ht="94.5">
      <c r="A63" s="39" t="s">
        <v>189</v>
      </c>
      <c r="B63" s="2" t="s">
        <v>190</v>
      </c>
      <c r="C63" s="21" t="s">
        <v>191</v>
      </c>
      <c r="D63" s="21" t="s">
        <v>192</v>
      </c>
      <c r="E63" s="21" t="s">
        <v>193</v>
      </c>
    </row>
    <row r="64" spans="1:5">
      <c r="A64" s="20"/>
    </row>
    <row r="65" spans="1:5" ht="54.75">
      <c r="A65" s="39" t="s">
        <v>194</v>
      </c>
      <c r="B65" s="2" t="s">
        <v>195</v>
      </c>
      <c r="C65" s="21" t="s">
        <v>196</v>
      </c>
      <c r="D65" s="21" t="s">
        <v>197</v>
      </c>
      <c r="E65" s="21" t="s">
        <v>198</v>
      </c>
    </row>
    <row r="67" spans="1:5" ht="54.75">
      <c r="A67" s="39" t="s">
        <v>199</v>
      </c>
      <c r="B67" s="2" t="s">
        <v>200</v>
      </c>
      <c r="C67" s="21" t="s">
        <v>201</v>
      </c>
      <c r="D67" s="21" t="s">
        <v>202</v>
      </c>
      <c r="E67" s="21" t="s">
        <v>203</v>
      </c>
    </row>
    <row r="68" spans="1:5">
      <c r="B68" s="31"/>
      <c r="C68" s="31"/>
      <c r="D68" s="4"/>
      <c r="E68" s="4"/>
    </row>
    <row r="69" spans="1:5" ht="54.75">
      <c r="A69" s="169" t="s">
        <v>204</v>
      </c>
      <c r="B69" s="2" t="s">
        <v>205</v>
      </c>
      <c r="C69" s="18" t="s">
        <v>206</v>
      </c>
      <c r="D69" s="17" t="s">
        <v>207</v>
      </c>
      <c r="E69" s="17" t="s">
        <v>208</v>
      </c>
    </row>
    <row r="70" spans="1:5" ht="54.75">
      <c r="A70" s="169"/>
      <c r="B70" s="2" t="s">
        <v>209</v>
      </c>
      <c r="C70" s="18" t="s">
        <v>210</v>
      </c>
      <c r="D70" s="17" t="s">
        <v>211</v>
      </c>
      <c r="E70" s="17" t="s">
        <v>212</v>
      </c>
    </row>
    <row r="71" spans="1:5">
      <c r="B71" s="42"/>
      <c r="C71" s="42"/>
      <c r="D71" s="43"/>
      <c r="E71" s="43"/>
    </row>
    <row r="72" spans="1:5" ht="41.25">
      <c r="A72" s="169" t="s">
        <v>213</v>
      </c>
      <c r="B72" s="2" t="s">
        <v>214</v>
      </c>
      <c r="C72" s="15" t="s">
        <v>215</v>
      </c>
      <c r="D72" s="16" t="s">
        <v>216</v>
      </c>
      <c r="E72" s="16" t="s">
        <v>217</v>
      </c>
    </row>
    <row r="73" spans="1:5" ht="54.75">
      <c r="A73" s="169"/>
      <c r="B73" s="2" t="s">
        <v>218</v>
      </c>
      <c r="C73" s="8" t="s">
        <v>219</v>
      </c>
      <c r="D73" s="2" t="s">
        <v>220</v>
      </c>
      <c r="E73" s="2" t="s">
        <v>221</v>
      </c>
    </row>
    <row r="74" spans="1:5" ht="54.75">
      <c r="A74" s="169"/>
      <c r="B74" s="2" t="s">
        <v>222</v>
      </c>
      <c r="C74" s="8" t="s">
        <v>223</v>
      </c>
      <c r="D74" s="2" t="s">
        <v>224</v>
      </c>
      <c r="E74" s="2" t="s">
        <v>225</v>
      </c>
    </row>
    <row r="75" spans="1:5" ht="81">
      <c r="A75" s="169"/>
      <c r="B75" s="2" t="s">
        <v>226</v>
      </c>
      <c r="C75" s="8" t="s">
        <v>227</v>
      </c>
      <c r="D75" s="2" t="s">
        <v>228</v>
      </c>
      <c r="E75" s="2" t="s">
        <v>229</v>
      </c>
    </row>
    <row r="76" spans="1:5">
      <c r="B76" s="31"/>
      <c r="C76" s="31"/>
      <c r="D76" s="4"/>
      <c r="E76" s="4"/>
    </row>
    <row r="77" spans="1:5" ht="81">
      <c r="A77" s="168" t="s">
        <v>230</v>
      </c>
      <c r="B77" s="2" t="s">
        <v>231</v>
      </c>
      <c r="C77" s="18" t="s">
        <v>232</v>
      </c>
      <c r="D77" s="17" t="s">
        <v>233</v>
      </c>
      <c r="E77" s="17" t="s">
        <v>234</v>
      </c>
    </row>
    <row r="78" spans="1:5" ht="81">
      <c r="A78" s="168"/>
      <c r="B78" s="2" t="s">
        <v>235</v>
      </c>
      <c r="C78" s="18" t="s">
        <v>236</v>
      </c>
      <c r="D78" s="17" t="s">
        <v>237</v>
      </c>
      <c r="E78" s="17" t="s">
        <v>238</v>
      </c>
    </row>
    <row r="79" spans="1:5" ht="162">
      <c r="A79" s="168"/>
      <c r="B79" s="2" t="s">
        <v>239</v>
      </c>
      <c r="C79" s="18" t="s">
        <v>240</v>
      </c>
      <c r="D79" s="17" t="s">
        <v>241</v>
      </c>
      <c r="E79" s="17" t="s">
        <v>242</v>
      </c>
    </row>
    <row r="81" spans="1:5" ht="54.75">
      <c r="A81" s="109" t="s">
        <v>243</v>
      </c>
      <c r="B81" s="2" t="s">
        <v>244</v>
      </c>
      <c r="C81" s="18" t="s">
        <v>245</v>
      </c>
      <c r="D81" s="17" t="s">
        <v>246</v>
      </c>
      <c r="E81" s="17" t="s">
        <v>247</v>
      </c>
    </row>
    <row r="82" spans="1:5">
      <c r="B82" s="31"/>
      <c r="C82" s="31"/>
      <c r="D82" s="4"/>
      <c r="E82" s="4"/>
    </row>
    <row r="83" spans="1:5" ht="68.25">
      <c r="A83" s="166" t="s">
        <v>248</v>
      </c>
      <c r="B83" s="2" t="s">
        <v>249</v>
      </c>
      <c r="C83" s="18" t="s">
        <v>250</v>
      </c>
      <c r="D83" s="17" t="s">
        <v>251</v>
      </c>
      <c r="E83" s="17" t="s">
        <v>252</v>
      </c>
    </row>
    <row r="84" spans="1:5" ht="54.75">
      <c r="A84" s="166"/>
      <c r="B84" s="2" t="s">
        <v>253</v>
      </c>
      <c r="C84" s="18" t="s">
        <v>254</v>
      </c>
      <c r="D84" s="17" t="s">
        <v>255</v>
      </c>
      <c r="E84" s="17" t="s">
        <v>256</v>
      </c>
    </row>
    <row r="85" spans="1:5" ht="54.75">
      <c r="A85" s="166"/>
      <c r="B85" s="2" t="s">
        <v>257</v>
      </c>
      <c r="C85" s="18" t="s">
        <v>258</v>
      </c>
      <c r="D85" s="114" t="s">
        <v>259</v>
      </c>
      <c r="E85" s="17" t="s">
        <v>260</v>
      </c>
    </row>
    <row r="86" spans="1:5" ht="41.25">
      <c r="A86" s="167"/>
      <c r="B86" s="2" t="s">
        <v>261</v>
      </c>
      <c r="C86" s="18" t="s">
        <v>262</v>
      </c>
      <c r="D86" s="17" t="s">
        <v>263</v>
      </c>
      <c r="E86" s="17" t="s">
        <v>264</v>
      </c>
    </row>
    <row r="87" spans="1:5">
      <c r="A87" s="20"/>
    </row>
    <row r="88" spans="1:5" ht="215.25">
      <c r="A88" s="107" t="s">
        <v>265</v>
      </c>
      <c r="B88" s="17" t="s">
        <v>266</v>
      </c>
      <c r="C88" s="35" t="s">
        <v>7</v>
      </c>
      <c r="D88" s="17" t="s">
        <v>267</v>
      </c>
      <c r="E88" s="17" t="s">
        <v>268</v>
      </c>
    </row>
  </sheetData>
  <mergeCells count="15">
    <mergeCell ref="A83:A86"/>
    <mergeCell ref="A77:A79"/>
    <mergeCell ref="A69:A70"/>
    <mergeCell ref="A72:A75"/>
    <mergeCell ref="A38:A39"/>
    <mergeCell ref="A43:A45"/>
    <mergeCell ref="A49:A53"/>
    <mergeCell ref="A55:A57"/>
    <mergeCell ref="A59:A61"/>
    <mergeCell ref="A17:A21"/>
    <mergeCell ref="A4:A6"/>
    <mergeCell ref="A35:A36"/>
    <mergeCell ref="A27:A29"/>
    <mergeCell ref="A12:A13"/>
    <mergeCell ref="A23:A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opLeftCell="A52" workbookViewId="0"/>
  </sheetViews>
  <sheetFormatPr defaultColWidth="9.140625" defaultRowHeight="15"/>
  <cols>
    <col min="1" max="1" width="10.85546875" style="6" customWidth="1"/>
    <col min="2" max="2" width="82.5703125" style="5" customWidth="1"/>
    <col min="3" max="3" width="17.5703125" style="6" customWidth="1"/>
    <col min="4" max="4" width="15.28515625" style="6" customWidth="1"/>
    <col min="5" max="5" width="21.28515625" style="6" customWidth="1"/>
    <col min="6" max="6" width="22" style="6" customWidth="1"/>
    <col min="7" max="7" width="41" style="5" customWidth="1"/>
    <col min="8" max="16384" width="9.140625" style="5"/>
  </cols>
  <sheetData>
    <row r="1" spans="1:6" s="3" customFormat="1" ht="27.75">
      <c r="A1" s="1" t="s">
        <v>269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</row>
    <row r="2" spans="1:6" ht="41.25">
      <c r="A2" s="8" t="s">
        <v>30</v>
      </c>
      <c r="B2" s="2" t="s">
        <v>32</v>
      </c>
      <c r="C2" s="8">
        <v>10</v>
      </c>
      <c r="D2" s="8">
        <v>3</v>
      </c>
      <c r="E2" s="7" t="s">
        <v>275</v>
      </c>
      <c r="F2" s="8" t="s">
        <v>276</v>
      </c>
    </row>
    <row r="3" spans="1:6" ht="54.75">
      <c r="A3" s="8" t="s">
        <v>35</v>
      </c>
      <c r="B3" s="2" t="s">
        <v>37</v>
      </c>
      <c r="C3" s="8">
        <v>8</v>
      </c>
      <c r="D3" s="8">
        <v>5</v>
      </c>
      <c r="E3" s="7" t="s">
        <v>277</v>
      </c>
      <c r="F3" s="8" t="s">
        <v>278</v>
      </c>
    </row>
    <row r="4" spans="1:6" ht="54.75">
      <c r="A4" s="8" t="s">
        <v>39</v>
      </c>
      <c r="B4" s="2" t="s">
        <v>41</v>
      </c>
      <c r="C4" s="8">
        <v>10</v>
      </c>
      <c r="D4" s="8">
        <v>5</v>
      </c>
      <c r="E4" s="7" t="s">
        <v>275</v>
      </c>
      <c r="F4" s="8" t="s">
        <v>276</v>
      </c>
    </row>
    <row r="5" spans="1:6" ht="41.25">
      <c r="A5" s="8" t="s">
        <v>70</v>
      </c>
      <c r="B5" s="2" t="s">
        <v>72</v>
      </c>
      <c r="C5" s="8">
        <v>6</v>
      </c>
      <c r="D5" s="8">
        <v>3</v>
      </c>
      <c r="E5" s="7" t="s">
        <v>279</v>
      </c>
      <c r="F5" s="8" t="s">
        <v>280</v>
      </c>
    </row>
    <row r="6" spans="1:6" ht="41.25">
      <c r="A6" s="8" t="s">
        <v>74</v>
      </c>
      <c r="B6" s="2" t="s">
        <v>76</v>
      </c>
      <c r="C6" s="8">
        <v>6</v>
      </c>
      <c r="D6" s="8">
        <v>5</v>
      </c>
      <c r="E6" s="7" t="s">
        <v>275</v>
      </c>
      <c r="F6" s="8" t="s">
        <v>278</v>
      </c>
    </row>
    <row r="7" spans="1:6" ht="41.25">
      <c r="A7" s="8" t="s">
        <v>177</v>
      </c>
      <c r="B7" s="2" t="s">
        <v>179</v>
      </c>
      <c r="C7" s="8">
        <v>8</v>
      </c>
      <c r="D7" s="8">
        <v>5</v>
      </c>
      <c r="E7" s="7" t="s">
        <v>275</v>
      </c>
      <c r="F7" s="8" t="s">
        <v>276</v>
      </c>
    </row>
    <row r="8" spans="1:6" ht="41.25">
      <c r="A8" s="8" t="s">
        <v>92</v>
      </c>
      <c r="B8" s="2" t="s">
        <v>94</v>
      </c>
      <c r="C8" s="8">
        <v>6</v>
      </c>
      <c r="D8" s="8">
        <v>5</v>
      </c>
      <c r="E8" s="7" t="s">
        <v>279</v>
      </c>
      <c r="F8" s="8" t="s">
        <v>280</v>
      </c>
    </row>
    <row r="9" spans="1:6" ht="41.25">
      <c r="A9" s="8" t="s">
        <v>200</v>
      </c>
      <c r="B9" s="2" t="s">
        <v>202</v>
      </c>
      <c r="C9" s="8">
        <v>7</v>
      </c>
      <c r="D9" s="8">
        <v>5</v>
      </c>
      <c r="E9" s="7" t="s">
        <v>277</v>
      </c>
      <c r="F9" s="8" t="s">
        <v>278</v>
      </c>
    </row>
    <row r="10" spans="1:6" ht="54.75">
      <c r="A10" s="8" t="s">
        <v>6</v>
      </c>
      <c r="B10" s="2" t="s">
        <v>281</v>
      </c>
      <c r="C10" s="8">
        <v>10</v>
      </c>
      <c r="D10" s="8">
        <v>5</v>
      </c>
      <c r="E10" s="7" t="s">
        <v>275</v>
      </c>
      <c r="F10" s="8" t="s">
        <v>276</v>
      </c>
    </row>
    <row r="11" spans="1:6" ht="41.25">
      <c r="A11" s="8" t="s">
        <v>25</v>
      </c>
      <c r="B11" s="2" t="s">
        <v>27</v>
      </c>
      <c r="C11" s="8">
        <v>7</v>
      </c>
      <c r="D11" s="8">
        <v>2</v>
      </c>
      <c r="E11" s="7" t="s">
        <v>277</v>
      </c>
      <c r="F11" s="8" t="s">
        <v>278</v>
      </c>
    </row>
    <row r="12" spans="1:6" ht="54.75">
      <c r="A12" s="8" t="s">
        <v>20</v>
      </c>
      <c r="B12" s="2" t="s">
        <v>22</v>
      </c>
      <c r="C12" s="8">
        <v>6</v>
      </c>
      <c r="D12" s="8">
        <v>5</v>
      </c>
      <c r="E12" s="7" t="s">
        <v>277</v>
      </c>
      <c r="F12" s="8" t="s">
        <v>280</v>
      </c>
    </row>
    <row r="13" spans="1:6" ht="54.75">
      <c r="A13" s="8" t="s">
        <v>12</v>
      </c>
      <c r="B13" s="2" t="s">
        <v>14</v>
      </c>
      <c r="C13" s="8">
        <v>10</v>
      </c>
      <c r="D13" s="8">
        <v>2</v>
      </c>
      <c r="E13" s="7" t="s">
        <v>275</v>
      </c>
      <c r="F13" s="8" t="s">
        <v>276</v>
      </c>
    </row>
    <row r="14" spans="1:6" ht="41.25">
      <c r="A14" s="8" t="s">
        <v>16</v>
      </c>
      <c r="B14" s="2" t="s">
        <v>18</v>
      </c>
      <c r="C14" s="8">
        <v>8</v>
      </c>
      <c r="D14" s="8">
        <v>5</v>
      </c>
      <c r="E14" s="7" t="s">
        <v>275</v>
      </c>
      <c r="F14" s="8" t="s">
        <v>276</v>
      </c>
    </row>
    <row r="15" spans="1:6" ht="54.75">
      <c r="A15" s="8" t="s">
        <v>111</v>
      </c>
      <c r="B15" s="2" t="s">
        <v>113</v>
      </c>
      <c r="C15" s="8">
        <v>4</v>
      </c>
      <c r="D15" s="8">
        <v>3</v>
      </c>
      <c r="E15" s="7" t="s">
        <v>279</v>
      </c>
      <c r="F15" s="8" t="s">
        <v>280</v>
      </c>
    </row>
    <row r="16" spans="1:6" ht="54.75">
      <c r="A16" s="8" t="s">
        <v>97</v>
      </c>
      <c r="B16" s="2" t="s">
        <v>99</v>
      </c>
      <c r="C16" s="8">
        <v>5</v>
      </c>
      <c r="D16" s="8">
        <v>5</v>
      </c>
      <c r="E16" s="7" t="s">
        <v>279</v>
      </c>
      <c r="F16" s="8" t="s">
        <v>280</v>
      </c>
    </row>
    <row r="17" spans="1:6" ht="41.25">
      <c r="A17" s="8" t="s">
        <v>120</v>
      </c>
      <c r="B17" s="2" t="s">
        <v>122</v>
      </c>
      <c r="C17" s="8">
        <v>3</v>
      </c>
      <c r="D17" s="8">
        <v>2</v>
      </c>
      <c r="E17" s="7" t="s">
        <v>277</v>
      </c>
      <c r="F17" s="8" t="s">
        <v>280</v>
      </c>
    </row>
    <row r="18" spans="1:6" ht="54.75">
      <c r="A18" s="8" t="s">
        <v>115</v>
      </c>
      <c r="B18" s="2" t="s">
        <v>117</v>
      </c>
      <c r="C18" s="8">
        <v>4</v>
      </c>
      <c r="D18" s="8">
        <v>2</v>
      </c>
      <c r="E18" s="7" t="s">
        <v>277</v>
      </c>
      <c r="F18" s="8" t="s">
        <v>280</v>
      </c>
    </row>
    <row r="19" spans="1:6" ht="54.75">
      <c r="A19" s="8" t="s">
        <v>102</v>
      </c>
      <c r="B19" s="2" t="s">
        <v>104</v>
      </c>
      <c r="C19" s="8">
        <v>5</v>
      </c>
      <c r="D19" s="8">
        <v>3</v>
      </c>
      <c r="E19" s="7" t="s">
        <v>277</v>
      </c>
      <c r="F19" s="8" t="s">
        <v>280</v>
      </c>
    </row>
    <row r="20" spans="1:6" ht="41.25">
      <c r="A20" s="8" t="s">
        <v>125</v>
      </c>
      <c r="B20" s="2" t="s">
        <v>127</v>
      </c>
      <c r="C20" s="8">
        <v>10</v>
      </c>
      <c r="D20" s="8">
        <v>5</v>
      </c>
      <c r="E20" s="7" t="s">
        <v>277</v>
      </c>
      <c r="F20" s="8" t="s">
        <v>276</v>
      </c>
    </row>
    <row r="21" spans="1:6" ht="41.25">
      <c r="A21" s="8" t="s">
        <v>129</v>
      </c>
      <c r="B21" s="2" t="s">
        <v>131</v>
      </c>
      <c r="C21" s="8">
        <v>10</v>
      </c>
      <c r="D21" s="8">
        <v>5</v>
      </c>
      <c r="E21" s="7" t="s">
        <v>277</v>
      </c>
      <c r="F21" s="8" t="s">
        <v>276</v>
      </c>
    </row>
    <row r="22" spans="1:6" ht="54.75">
      <c r="A22" s="8" t="s">
        <v>138</v>
      </c>
      <c r="B22" s="2" t="s">
        <v>140</v>
      </c>
      <c r="C22" s="8">
        <v>9</v>
      </c>
      <c r="D22" s="8">
        <v>13</v>
      </c>
      <c r="E22" s="7" t="s">
        <v>279</v>
      </c>
      <c r="F22" s="8" t="s">
        <v>276</v>
      </c>
    </row>
    <row r="23" spans="1:6" ht="41.25">
      <c r="A23" s="8" t="s">
        <v>143</v>
      </c>
      <c r="B23" s="2" t="s">
        <v>145</v>
      </c>
      <c r="C23" s="8">
        <v>8</v>
      </c>
      <c r="D23" s="8">
        <v>5</v>
      </c>
      <c r="E23" s="7" t="s">
        <v>277</v>
      </c>
      <c r="F23" s="8" t="s">
        <v>278</v>
      </c>
    </row>
    <row r="24" spans="1:6" ht="41.25">
      <c r="A24" s="8" t="s">
        <v>147</v>
      </c>
      <c r="B24" s="2" t="s">
        <v>149</v>
      </c>
      <c r="C24" s="8">
        <v>9</v>
      </c>
      <c r="D24" s="8">
        <v>8</v>
      </c>
      <c r="E24" s="7" t="s">
        <v>277</v>
      </c>
      <c r="F24" s="8" t="s">
        <v>276</v>
      </c>
    </row>
    <row r="25" spans="1:6" ht="41.25">
      <c r="A25" s="8" t="s">
        <v>151</v>
      </c>
      <c r="B25" s="2" t="s">
        <v>153</v>
      </c>
      <c r="C25" s="8">
        <v>8</v>
      </c>
      <c r="D25" s="8">
        <v>5</v>
      </c>
      <c r="E25" s="7" t="s">
        <v>277</v>
      </c>
      <c r="F25" s="8" t="s">
        <v>278</v>
      </c>
    </row>
    <row r="26" spans="1:6" ht="41.25">
      <c r="A26" s="8" t="s">
        <v>133</v>
      </c>
      <c r="B26" s="2" t="s">
        <v>135</v>
      </c>
      <c r="C26" s="8">
        <v>9</v>
      </c>
      <c r="D26" s="8">
        <v>5</v>
      </c>
      <c r="E26" s="7" t="s">
        <v>277</v>
      </c>
      <c r="F26" s="8" t="s">
        <v>276</v>
      </c>
    </row>
    <row r="27" spans="1:6" ht="41.25">
      <c r="A27" s="8" t="s">
        <v>155</v>
      </c>
      <c r="B27" s="2" t="s">
        <v>157</v>
      </c>
      <c r="C27" s="8">
        <v>8</v>
      </c>
      <c r="D27" s="8">
        <v>8</v>
      </c>
      <c r="E27" s="7" t="s">
        <v>279</v>
      </c>
      <c r="F27" s="8" t="s">
        <v>278</v>
      </c>
    </row>
    <row r="28" spans="1:6" ht="54.75">
      <c r="A28" s="8" t="s">
        <v>181</v>
      </c>
      <c r="B28" s="2" t="s">
        <v>183</v>
      </c>
      <c r="C28" s="8">
        <v>9</v>
      </c>
      <c r="D28" s="8">
        <v>5</v>
      </c>
      <c r="E28" s="7" t="s">
        <v>275</v>
      </c>
      <c r="F28" s="8" t="s">
        <v>276</v>
      </c>
    </row>
    <row r="29" spans="1:6" ht="41.25">
      <c r="A29" s="8" t="s">
        <v>185</v>
      </c>
      <c r="B29" s="2" t="s">
        <v>187</v>
      </c>
      <c r="C29" s="8">
        <v>9</v>
      </c>
      <c r="D29" s="8">
        <v>3</v>
      </c>
      <c r="E29" s="7" t="s">
        <v>275</v>
      </c>
      <c r="F29" s="8" t="s">
        <v>276</v>
      </c>
    </row>
    <row r="30" spans="1:6" ht="54.75">
      <c r="A30" s="8" t="s">
        <v>195</v>
      </c>
      <c r="B30" s="2" t="s">
        <v>197</v>
      </c>
      <c r="C30" s="8">
        <v>8</v>
      </c>
      <c r="D30" s="8">
        <v>2</v>
      </c>
      <c r="E30" s="7" t="s">
        <v>277</v>
      </c>
      <c r="F30" s="8" t="s">
        <v>278</v>
      </c>
    </row>
    <row r="31" spans="1:6" ht="54.75">
      <c r="A31" s="8" t="s">
        <v>164</v>
      </c>
      <c r="B31" s="2" t="s">
        <v>166</v>
      </c>
      <c r="C31" s="8">
        <v>9</v>
      </c>
      <c r="D31" s="8">
        <v>5</v>
      </c>
      <c r="E31" s="7" t="s">
        <v>277</v>
      </c>
      <c r="F31" s="8" t="s">
        <v>276</v>
      </c>
    </row>
    <row r="32" spans="1:6" ht="41.25">
      <c r="A32" s="8" t="s">
        <v>168</v>
      </c>
      <c r="B32" s="2" t="s">
        <v>170</v>
      </c>
      <c r="C32" s="8">
        <v>8</v>
      </c>
      <c r="D32" s="8">
        <v>3</v>
      </c>
      <c r="E32" s="7" t="s">
        <v>279</v>
      </c>
      <c r="F32" s="8" t="s">
        <v>278</v>
      </c>
    </row>
    <row r="33" spans="1:6" ht="41.25">
      <c r="A33" s="8" t="s">
        <v>172</v>
      </c>
      <c r="B33" s="2" t="s">
        <v>174</v>
      </c>
      <c r="C33" s="8">
        <v>8</v>
      </c>
      <c r="D33" s="8">
        <v>5</v>
      </c>
      <c r="E33" s="7" t="s">
        <v>277</v>
      </c>
      <c r="F33" s="8" t="s">
        <v>278</v>
      </c>
    </row>
    <row r="34" spans="1:6" ht="54.75">
      <c r="A34" s="8" t="s">
        <v>190</v>
      </c>
      <c r="B34" s="2" t="s">
        <v>192</v>
      </c>
      <c r="C34" s="8">
        <v>8</v>
      </c>
      <c r="D34" s="8">
        <v>5</v>
      </c>
      <c r="E34" s="7" t="s">
        <v>279</v>
      </c>
      <c r="F34" s="8" t="s">
        <v>278</v>
      </c>
    </row>
    <row r="35" spans="1:6" ht="41.25">
      <c r="A35" s="8" t="s">
        <v>106</v>
      </c>
      <c r="B35" s="2" t="s">
        <v>108</v>
      </c>
      <c r="C35" s="8">
        <v>6</v>
      </c>
      <c r="D35" s="8">
        <v>2</v>
      </c>
      <c r="E35" s="7" t="s">
        <v>277</v>
      </c>
      <c r="F35" s="8" t="s">
        <v>280</v>
      </c>
    </row>
    <row r="36" spans="1:6" ht="41.25">
      <c r="A36" s="8" t="s">
        <v>159</v>
      </c>
      <c r="B36" s="2" t="s">
        <v>161</v>
      </c>
      <c r="C36" s="8">
        <v>10</v>
      </c>
      <c r="D36" s="8">
        <v>5</v>
      </c>
      <c r="E36" s="7" t="s">
        <v>275</v>
      </c>
      <c r="F36" s="8" t="s">
        <v>276</v>
      </c>
    </row>
    <row r="37" spans="1:6" ht="41.25">
      <c r="A37" s="8" t="s">
        <v>214</v>
      </c>
      <c r="B37" s="2" t="s">
        <v>216</v>
      </c>
      <c r="C37" s="8">
        <v>9</v>
      </c>
      <c r="D37" s="8">
        <v>5</v>
      </c>
      <c r="E37" s="7" t="s">
        <v>277</v>
      </c>
      <c r="F37" s="8" t="s">
        <v>276</v>
      </c>
    </row>
    <row r="38" spans="1:6" ht="54.75">
      <c r="A38" s="8" t="s">
        <v>218</v>
      </c>
      <c r="B38" s="2" t="s">
        <v>220</v>
      </c>
      <c r="C38" s="8">
        <v>9</v>
      </c>
      <c r="D38" s="8">
        <v>3</v>
      </c>
      <c r="E38" s="7" t="s">
        <v>277</v>
      </c>
      <c r="F38" s="8" t="s">
        <v>276</v>
      </c>
    </row>
    <row r="39" spans="1:6" ht="54.75">
      <c r="A39" s="8" t="s">
        <v>222</v>
      </c>
      <c r="B39" s="2" t="s">
        <v>224</v>
      </c>
      <c r="C39" s="8">
        <v>8</v>
      </c>
      <c r="D39" s="8">
        <v>2</v>
      </c>
      <c r="E39" s="7" t="s">
        <v>277</v>
      </c>
      <c r="F39" s="8" t="s">
        <v>278</v>
      </c>
    </row>
    <row r="40" spans="1:6" ht="41.25">
      <c r="A40" s="8" t="s">
        <v>205</v>
      </c>
      <c r="B40" s="2" t="s">
        <v>207</v>
      </c>
      <c r="C40" s="8">
        <v>7</v>
      </c>
      <c r="D40" s="8">
        <v>2</v>
      </c>
      <c r="E40" s="7" t="s">
        <v>279</v>
      </c>
      <c r="F40" s="8" t="s">
        <v>278</v>
      </c>
    </row>
    <row r="41" spans="1:6" ht="54.75">
      <c r="A41" s="8" t="s">
        <v>209</v>
      </c>
      <c r="B41" s="2" t="s">
        <v>211</v>
      </c>
      <c r="C41" s="8">
        <v>8</v>
      </c>
      <c r="D41" s="8">
        <v>5</v>
      </c>
      <c r="E41" s="7" t="s">
        <v>279</v>
      </c>
      <c r="F41" s="8" t="s">
        <v>278</v>
      </c>
    </row>
    <row r="42" spans="1:6" ht="41.25">
      <c r="A42" s="8" t="s">
        <v>49</v>
      </c>
      <c r="B42" s="2" t="s">
        <v>51</v>
      </c>
      <c r="C42" s="8">
        <v>8</v>
      </c>
      <c r="D42" s="8">
        <v>8</v>
      </c>
      <c r="E42" s="7" t="s">
        <v>277</v>
      </c>
      <c r="F42" s="8" t="s">
        <v>278</v>
      </c>
    </row>
    <row r="43" spans="1:6" ht="54.75">
      <c r="A43" s="8" t="s">
        <v>226</v>
      </c>
      <c r="B43" s="2" t="s">
        <v>228</v>
      </c>
      <c r="C43" s="8">
        <v>8</v>
      </c>
      <c r="D43" s="8">
        <v>8</v>
      </c>
      <c r="E43" s="7" t="s">
        <v>275</v>
      </c>
      <c r="F43" s="8" t="s">
        <v>276</v>
      </c>
    </row>
    <row r="44" spans="1:6" ht="68.25">
      <c r="A44" s="8" t="s">
        <v>231</v>
      </c>
      <c r="B44" s="2" t="s">
        <v>233</v>
      </c>
      <c r="C44" s="8">
        <v>10</v>
      </c>
      <c r="D44" s="8">
        <v>5</v>
      </c>
      <c r="E44" s="7" t="s">
        <v>277</v>
      </c>
      <c r="F44" s="8" t="s">
        <v>276</v>
      </c>
    </row>
    <row r="45" spans="1:6" ht="54.75">
      <c r="A45" s="8" t="s">
        <v>235</v>
      </c>
      <c r="B45" s="2" t="s">
        <v>237</v>
      </c>
      <c r="C45" s="8">
        <v>9</v>
      </c>
      <c r="D45" s="8">
        <v>5</v>
      </c>
      <c r="E45" s="7" t="s">
        <v>279</v>
      </c>
      <c r="F45" s="8" t="s">
        <v>276</v>
      </c>
    </row>
    <row r="46" spans="1:6" ht="41.25">
      <c r="A46" s="8" t="s">
        <v>239</v>
      </c>
      <c r="B46" s="2" t="s">
        <v>241</v>
      </c>
      <c r="C46" s="8">
        <v>9</v>
      </c>
      <c r="D46" s="8">
        <v>3</v>
      </c>
      <c r="E46" s="7" t="s">
        <v>277</v>
      </c>
      <c r="F46" s="8" t="s">
        <v>276</v>
      </c>
    </row>
    <row r="47" spans="1:6" ht="54.75">
      <c r="A47" s="8" t="s">
        <v>244</v>
      </c>
      <c r="B47" s="2" t="s">
        <v>246</v>
      </c>
      <c r="C47" s="8">
        <v>7</v>
      </c>
      <c r="D47" s="8">
        <v>3</v>
      </c>
      <c r="E47" s="7" t="s">
        <v>277</v>
      </c>
      <c r="F47" s="8" t="s">
        <v>278</v>
      </c>
    </row>
    <row r="48" spans="1:6" ht="54.75">
      <c r="A48" s="8" t="s">
        <v>249</v>
      </c>
      <c r="B48" s="2" t="s">
        <v>251</v>
      </c>
      <c r="C48" s="8">
        <v>10</v>
      </c>
      <c r="D48" s="8">
        <v>5</v>
      </c>
      <c r="E48" s="7" t="s">
        <v>275</v>
      </c>
      <c r="F48" s="8" t="s">
        <v>276</v>
      </c>
    </row>
    <row r="49" spans="1:6" ht="41.25">
      <c r="A49" s="8" t="s">
        <v>253</v>
      </c>
      <c r="B49" s="2" t="s">
        <v>255</v>
      </c>
      <c r="C49" s="8">
        <v>9</v>
      </c>
      <c r="D49" s="8">
        <v>2</v>
      </c>
      <c r="E49" s="7" t="s">
        <v>279</v>
      </c>
      <c r="F49" s="8" t="s">
        <v>276</v>
      </c>
    </row>
    <row r="50" spans="1:6" ht="54.75">
      <c r="A50" s="8" t="s">
        <v>257</v>
      </c>
      <c r="B50" s="2" t="s">
        <v>259</v>
      </c>
      <c r="C50" s="8">
        <v>7</v>
      </c>
      <c r="D50" s="8">
        <v>2</v>
      </c>
      <c r="E50" s="7" t="s">
        <v>277</v>
      </c>
      <c r="F50" s="8" t="s">
        <v>278</v>
      </c>
    </row>
    <row r="51" spans="1:6" ht="41.25">
      <c r="A51" s="8" t="s">
        <v>261</v>
      </c>
      <c r="B51" s="2" t="s">
        <v>263</v>
      </c>
      <c r="C51" s="8">
        <v>8</v>
      </c>
      <c r="D51" s="8">
        <v>2</v>
      </c>
      <c r="E51" s="7" t="s">
        <v>279</v>
      </c>
      <c r="F51" s="8" t="s">
        <v>278</v>
      </c>
    </row>
    <row r="52" spans="1:6" ht="41.25">
      <c r="A52" s="8" t="s">
        <v>79</v>
      </c>
      <c r="B52" s="2" t="s">
        <v>81</v>
      </c>
      <c r="C52" s="8">
        <v>7</v>
      </c>
      <c r="D52" s="8">
        <v>3</v>
      </c>
      <c r="E52" s="7" t="s">
        <v>275</v>
      </c>
      <c r="F52" s="8" t="s">
        <v>278</v>
      </c>
    </row>
    <row r="53" spans="1:6" ht="54.75">
      <c r="A53" s="8" t="s">
        <v>83</v>
      </c>
      <c r="B53" s="2" t="s">
        <v>85</v>
      </c>
      <c r="C53" s="8">
        <v>8</v>
      </c>
      <c r="D53" s="8">
        <v>5</v>
      </c>
      <c r="E53" s="7" t="s">
        <v>275</v>
      </c>
      <c r="F53" s="8" t="s">
        <v>276</v>
      </c>
    </row>
    <row r="54" spans="1:6" ht="41.25">
      <c r="A54" s="8" t="s">
        <v>87</v>
      </c>
      <c r="B54" s="2" t="s">
        <v>89</v>
      </c>
      <c r="C54" s="8">
        <v>7</v>
      </c>
      <c r="D54" s="8">
        <v>3</v>
      </c>
      <c r="E54" s="7" t="s">
        <v>275</v>
      </c>
      <c r="F54" s="8" t="s">
        <v>278</v>
      </c>
    </row>
    <row r="55" spans="1:6" ht="41.25">
      <c r="A55" s="8" t="s">
        <v>53</v>
      </c>
      <c r="B55" s="2" t="s">
        <v>55</v>
      </c>
      <c r="C55" s="8">
        <v>7</v>
      </c>
      <c r="D55" s="8">
        <v>2</v>
      </c>
      <c r="E55" s="7" t="s">
        <v>277</v>
      </c>
      <c r="F55" s="8" t="s">
        <v>278</v>
      </c>
    </row>
    <row r="56" spans="1:6" ht="54.75">
      <c r="A56" s="8" t="s">
        <v>57</v>
      </c>
      <c r="B56" s="2" t="s">
        <v>59</v>
      </c>
      <c r="C56" s="8">
        <v>6</v>
      </c>
      <c r="D56" s="8">
        <v>8</v>
      </c>
      <c r="E56" s="7" t="s">
        <v>277</v>
      </c>
      <c r="F56" s="8" t="s">
        <v>280</v>
      </c>
    </row>
    <row r="57" spans="1:6" ht="54.75">
      <c r="A57" s="8" t="s">
        <v>61</v>
      </c>
      <c r="B57" s="2" t="s">
        <v>63</v>
      </c>
      <c r="C57" s="8">
        <v>6</v>
      </c>
      <c r="D57" s="8">
        <v>3</v>
      </c>
      <c r="E57" s="7" t="s">
        <v>279</v>
      </c>
      <c r="F57" s="8" t="s">
        <v>280</v>
      </c>
    </row>
    <row r="58" spans="1:6" ht="41.25">
      <c r="A58" s="8" t="s">
        <v>65</v>
      </c>
      <c r="B58" s="2" t="s">
        <v>67</v>
      </c>
      <c r="C58" s="8">
        <v>5</v>
      </c>
      <c r="D58" s="8">
        <v>2</v>
      </c>
      <c r="E58" s="7" t="s">
        <v>279</v>
      </c>
      <c r="F58" s="8" t="s">
        <v>280</v>
      </c>
    </row>
    <row r="59" spans="1:6" ht="54.75">
      <c r="A59" s="8" t="s">
        <v>44</v>
      </c>
      <c r="B59" s="2" t="s">
        <v>282</v>
      </c>
      <c r="C59" s="8">
        <v>5</v>
      </c>
      <c r="D59" s="8">
        <v>2</v>
      </c>
      <c r="E59" s="7" t="s">
        <v>275</v>
      </c>
      <c r="F59" s="8" t="s">
        <v>280</v>
      </c>
    </row>
    <row r="60" spans="1:6" ht="27.75">
      <c r="A60" s="8" t="s">
        <v>266</v>
      </c>
      <c r="B60" s="2" t="s">
        <v>267</v>
      </c>
      <c r="C60" s="8">
        <v>5</v>
      </c>
      <c r="D60" s="8">
        <v>2</v>
      </c>
      <c r="E60" s="7" t="s">
        <v>275</v>
      </c>
      <c r="F60" s="8" t="s">
        <v>276</v>
      </c>
    </row>
  </sheetData>
  <autoFilter ref="A1:F59" xr:uid="{00000000-0001-0000-00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F853-5545-42ED-986F-A30C55039E4C}">
  <dimension ref="A1:F60"/>
  <sheetViews>
    <sheetView topLeftCell="A51" workbookViewId="0">
      <selection activeCell="A53" sqref="A53:F53"/>
    </sheetView>
  </sheetViews>
  <sheetFormatPr defaultColWidth="9.140625" defaultRowHeight="15"/>
  <cols>
    <col min="1" max="1" width="10.85546875" style="6" customWidth="1"/>
    <col min="2" max="2" width="82.5703125" style="5" customWidth="1"/>
    <col min="3" max="3" width="17.5703125" style="6" customWidth="1"/>
    <col min="4" max="4" width="15.28515625" style="6" customWidth="1"/>
    <col min="5" max="5" width="21.28515625" style="6" customWidth="1"/>
    <col min="6" max="6" width="22" style="6" customWidth="1"/>
    <col min="7" max="7" width="41" style="5" customWidth="1"/>
    <col min="8" max="16384" width="9.140625" style="5"/>
  </cols>
  <sheetData>
    <row r="1" spans="1:6" s="3" customFormat="1" ht="27.75">
      <c r="A1" s="1" t="s">
        <v>269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</row>
    <row r="2" spans="1:6" ht="68.25">
      <c r="A2" s="145" t="s">
        <v>30</v>
      </c>
      <c r="B2" s="146" t="s">
        <v>283</v>
      </c>
      <c r="C2" s="145">
        <v>10</v>
      </c>
      <c r="D2" s="145">
        <v>3</v>
      </c>
      <c r="E2" s="147" t="s">
        <v>275</v>
      </c>
      <c r="F2" s="145" t="s">
        <v>276</v>
      </c>
    </row>
    <row r="3" spans="1:6" ht="54.75">
      <c r="A3" s="8" t="s">
        <v>35</v>
      </c>
      <c r="B3" s="2" t="s">
        <v>37</v>
      </c>
      <c r="C3" s="8">
        <v>8</v>
      </c>
      <c r="D3" s="8">
        <v>5</v>
      </c>
      <c r="E3" s="7" t="s">
        <v>277</v>
      </c>
      <c r="F3" s="8" t="s">
        <v>278</v>
      </c>
    </row>
    <row r="4" spans="1:6" ht="54.75">
      <c r="A4" s="8" t="s">
        <v>39</v>
      </c>
      <c r="B4" s="2" t="s">
        <v>41</v>
      </c>
      <c r="C4" s="8">
        <v>10</v>
      </c>
      <c r="D4" s="8">
        <v>5</v>
      </c>
      <c r="E4" s="7" t="s">
        <v>275</v>
      </c>
      <c r="F4" s="8" t="s">
        <v>276</v>
      </c>
    </row>
    <row r="5" spans="1:6" ht="41.25">
      <c r="A5" s="8" t="s">
        <v>70</v>
      </c>
      <c r="B5" s="2" t="s">
        <v>72</v>
      </c>
      <c r="C5" s="8">
        <v>6</v>
      </c>
      <c r="D5" s="8">
        <v>3</v>
      </c>
      <c r="E5" s="7" t="s">
        <v>279</v>
      </c>
      <c r="F5" s="8" t="s">
        <v>280</v>
      </c>
    </row>
    <row r="6" spans="1:6" ht="41.25">
      <c r="A6" s="8" t="s">
        <v>74</v>
      </c>
      <c r="B6" s="2" t="s">
        <v>76</v>
      </c>
      <c r="C6" s="8">
        <v>6</v>
      </c>
      <c r="D6" s="8">
        <v>5</v>
      </c>
      <c r="E6" s="7" t="s">
        <v>275</v>
      </c>
      <c r="F6" s="8" t="s">
        <v>278</v>
      </c>
    </row>
    <row r="7" spans="1:6" ht="41.25">
      <c r="A7" s="8" t="s">
        <v>177</v>
      </c>
      <c r="B7" s="2" t="s">
        <v>179</v>
      </c>
      <c r="C7" s="8">
        <v>8</v>
      </c>
      <c r="D7" s="8">
        <v>5</v>
      </c>
      <c r="E7" s="7" t="s">
        <v>275</v>
      </c>
      <c r="F7" s="8" t="s">
        <v>276</v>
      </c>
    </row>
    <row r="8" spans="1:6" ht="41.25">
      <c r="A8" s="8" t="s">
        <v>92</v>
      </c>
      <c r="B8" s="2" t="s">
        <v>94</v>
      </c>
      <c r="C8" s="8">
        <v>6</v>
      </c>
      <c r="D8" s="8">
        <v>5</v>
      </c>
      <c r="E8" s="7" t="s">
        <v>279</v>
      </c>
      <c r="F8" s="8" t="s">
        <v>280</v>
      </c>
    </row>
    <row r="9" spans="1:6" ht="41.25">
      <c r="A9" s="145" t="s">
        <v>200</v>
      </c>
      <c r="B9" s="146" t="s">
        <v>202</v>
      </c>
      <c r="C9" s="145">
        <v>7</v>
      </c>
      <c r="D9" s="145">
        <v>5</v>
      </c>
      <c r="E9" s="147" t="s">
        <v>277</v>
      </c>
      <c r="F9" s="145" t="s">
        <v>278</v>
      </c>
    </row>
    <row r="10" spans="1:6" ht="54.75">
      <c r="A10" s="145" t="s">
        <v>6</v>
      </c>
      <c r="B10" s="146" t="s">
        <v>281</v>
      </c>
      <c r="C10" s="145">
        <v>10</v>
      </c>
      <c r="D10" s="145">
        <v>5</v>
      </c>
      <c r="E10" s="147" t="s">
        <v>275</v>
      </c>
      <c r="F10" s="145" t="s">
        <v>276</v>
      </c>
    </row>
    <row r="11" spans="1:6" ht="41.25">
      <c r="A11" s="8" t="s">
        <v>25</v>
      </c>
      <c r="B11" s="2" t="s">
        <v>27</v>
      </c>
      <c r="C11" s="8">
        <v>7</v>
      </c>
      <c r="D11" s="8">
        <v>2</v>
      </c>
      <c r="E11" s="7" t="s">
        <v>277</v>
      </c>
      <c r="F11" s="8" t="s">
        <v>278</v>
      </c>
    </row>
    <row r="12" spans="1:6" ht="54.75">
      <c r="A12" s="8" t="s">
        <v>20</v>
      </c>
      <c r="B12" s="2" t="s">
        <v>22</v>
      </c>
      <c r="C12" s="8">
        <v>6</v>
      </c>
      <c r="D12" s="8">
        <v>5</v>
      </c>
      <c r="E12" s="7" t="s">
        <v>277</v>
      </c>
      <c r="F12" s="8" t="s">
        <v>280</v>
      </c>
    </row>
    <row r="13" spans="1:6" ht="54.75">
      <c r="A13" s="145" t="s">
        <v>12</v>
      </c>
      <c r="B13" s="146" t="s">
        <v>14</v>
      </c>
      <c r="C13" s="145">
        <v>10</v>
      </c>
      <c r="D13" s="145">
        <v>2</v>
      </c>
      <c r="E13" s="147" t="s">
        <v>275</v>
      </c>
      <c r="F13" s="145" t="s">
        <v>276</v>
      </c>
    </row>
    <row r="14" spans="1:6" ht="41.25">
      <c r="A14" s="8" t="s">
        <v>16</v>
      </c>
      <c r="B14" s="2" t="s">
        <v>18</v>
      </c>
      <c r="C14" s="8">
        <v>8</v>
      </c>
      <c r="D14" s="8">
        <v>5</v>
      </c>
      <c r="E14" s="7" t="s">
        <v>275</v>
      </c>
      <c r="F14" s="8" t="s">
        <v>276</v>
      </c>
    </row>
    <row r="15" spans="1:6" ht="54.75">
      <c r="A15" s="145" t="s">
        <v>111</v>
      </c>
      <c r="B15" s="146" t="s">
        <v>113</v>
      </c>
      <c r="C15" s="145">
        <v>4</v>
      </c>
      <c r="D15" s="145">
        <v>3</v>
      </c>
      <c r="E15" s="147" t="s">
        <v>279</v>
      </c>
      <c r="F15" s="145" t="s">
        <v>280</v>
      </c>
    </row>
    <row r="16" spans="1:6" ht="54.75">
      <c r="A16" s="8" t="s">
        <v>97</v>
      </c>
      <c r="B16" s="2" t="s">
        <v>99</v>
      </c>
      <c r="C16" s="8">
        <v>5</v>
      </c>
      <c r="D16" s="8">
        <v>5</v>
      </c>
      <c r="E16" s="7" t="s">
        <v>279</v>
      </c>
      <c r="F16" s="8" t="s">
        <v>280</v>
      </c>
    </row>
    <row r="17" spans="1:6" ht="41.25">
      <c r="A17" s="8" t="s">
        <v>120</v>
      </c>
      <c r="B17" s="2" t="s">
        <v>122</v>
      </c>
      <c r="C17" s="8">
        <v>3</v>
      </c>
      <c r="D17" s="8">
        <v>2</v>
      </c>
      <c r="E17" s="7" t="s">
        <v>277</v>
      </c>
      <c r="F17" s="8" t="s">
        <v>280</v>
      </c>
    </row>
    <row r="18" spans="1:6" ht="54.75">
      <c r="A18" s="8" t="s">
        <v>115</v>
      </c>
      <c r="B18" s="2" t="s">
        <v>117</v>
      </c>
      <c r="C18" s="8">
        <v>4</v>
      </c>
      <c r="D18" s="8">
        <v>2</v>
      </c>
      <c r="E18" s="7" t="s">
        <v>277</v>
      </c>
      <c r="F18" s="8" t="s">
        <v>280</v>
      </c>
    </row>
    <row r="19" spans="1:6" ht="54.75">
      <c r="A19" s="8" t="s">
        <v>102</v>
      </c>
      <c r="B19" s="2" t="s">
        <v>104</v>
      </c>
      <c r="C19" s="8">
        <v>5</v>
      </c>
      <c r="D19" s="8">
        <v>3</v>
      </c>
      <c r="E19" s="7" t="s">
        <v>277</v>
      </c>
      <c r="F19" s="8" t="s">
        <v>280</v>
      </c>
    </row>
    <row r="20" spans="1:6" ht="41.25">
      <c r="A20" s="145" t="s">
        <v>125</v>
      </c>
      <c r="B20" s="146" t="s">
        <v>127</v>
      </c>
      <c r="C20" s="145">
        <v>10</v>
      </c>
      <c r="D20" s="145">
        <v>5</v>
      </c>
      <c r="E20" s="147" t="s">
        <v>277</v>
      </c>
      <c r="F20" s="145" t="s">
        <v>276</v>
      </c>
    </row>
    <row r="21" spans="1:6" ht="41.25">
      <c r="A21" s="145" t="s">
        <v>129</v>
      </c>
      <c r="B21" s="146" t="s">
        <v>131</v>
      </c>
      <c r="C21" s="145">
        <v>10</v>
      </c>
      <c r="D21" s="145">
        <v>5</v>
      </c>
      <c r="E21" s="147" t="s">
        <v>277</v>
      </c>
      <c r="F21" s="145" t="s">
        <v>276</v>
      </c>
    </row>
    <row r="22" spans="1:6" ht="54.75">
      <c r="A22" s="145" t="s">
        <v>138</v>
      </c>
      <c r="B22" s="146" t="s">
        <v>140</v>
      </c>
      <c r="C22" s="145">
        <v>9</v>
      </c>
      <c r="D22" s="145">
        <v>13</v>
      </c>
      <c r="E22" s="147" t="s">
        <v>279</v>
      </c>
      <c r="F22" s="145" t="s">
        <v>276</v>
      </c>
    </row>
    <row r="23" spans="1:6" ht="41.25">
      <c r="A23" s="145" t="s">
        <v>143</v>
      </c>
      <c r="B23" s="146" t="s">
        <v>145</v>
      </c>
      <c r="C23" s="145">
        <v>8</v>
      </c>
      <c r="D23" s="145">
        <v>5</v>
      </c>
      <c r="E23" s="147" t="s">
        <v>277</v>
      </c>
      <c r="F23" s="145" t="s">
        <v>278</v>
      </c>
    </row>
    <row r="24" spans="1:6" ht="41.25">
      <c r="A24" s="145" t="s">
        <v>147</v>
      </c>
      <c r="B24" s="146" t="s">
        <v>149</v>
      </c>
      <c r="C24" s="145">
        <v>9</v>
      </c>
      <c r="D24" s="145">
        <v>8</v>
      </c>
      <c r="E24" s="147" t="s">
        <v>277</v>
      </c>
      <c r="F24" s="145" t="s">
        <v>276</v>
      </c>
    </row>
    <row r="25" spans="1:6" ht="41.25">
      <c r="A25" s="145" t="s">
        <v>151</v>
      </c>
      <c r="B25" s="146" t="s">
        <v>153</v>
      </c>
      <c r="C25" s="145">
        <v>8</v>
      </c>
      <c r="D25" s="145">
        <v>5</v>
      </c>
      <c r="E25" s="147" t="s">
        <v>277</v>
      </c>
      <c r="F25" s="145" t="s">
        <v>278</v>
      </c>
    </row>
    <row r="26" spans="1:6" ht="41.25">
      <c r="A26" s="8" t="s">
        <v>133</v>
      </c>
      <c r="B26" s="2" t="s">
        <v>135</v>
      </c>
      <c r="C26" s="8">
        <v>9</v>
      </c>
      <c r="D26" s="8">
        <v>5</v>
      </c>
      <c r="E26" s="7" t="s">
        <v>277</v>
      </c>
      <c r="F26" s="8" t="s">
        <v>276</v>
      </c>
    </row>
    <row r="27" spans="1:6" ht="41.25">
      <c r="A27" s="145" t="s">
        <v>155</v>
      </c>
      <c r="B27" s="146" t="s">
        <v>157</v>
      </c>
      <c r="C27" s="145">
        <v>8</v>
      </c>
      <c r="D27" s="145">
        <v>8</v>
      </c>
      <c r="E27" s="147" t="s">
        <v>279</v>
      </c>
      <c r="F27" s="145" t="s">
        <v>278</v>
      </c>
    </row>
    <row r="28" spans="1:6" ht="54.75">
      <c r="A28" s="8" t="s">
        <v>181</v>
      </c>
      <c r="B28" s="2" t="s">
        <v>183</v>
      </c>
      <c r="C28" s="8">
        <v>9</v>
      </c>
      <c r="D28" s="8">
        <v>5</v>
      </c>
      <c r="E28" s="7" t="s">
        <v>275</v>
      </c>
      <c r="F28" s="8" t="s">
        <v>276</v>
      </c>
    </row>
    <row r="29" spans="1:6" ht="41.25">
      <c r="A29" s="8" t="s">
        <v>185</v>
      </c>
      <c r="B29" s="2" t="s">
        <v>187</v>
      </c>
      <c r="C29" s="8">
        <v>9</v>
      </c>
      <c r="D29" s="8">
        <v>3</v>
      </c>
      <c r="E29" s="7" t="s">
        <v>275</v>
      </c>
      <c r="F29" s="8" t="s">
        <v>276</v>
      </c>
    </row>
    <row r="30" spans="1:6" ht="54.75">
      <c r="A30" s="8" t="s">
        <v>195</v>
      </c>
      <c r="B30" s="2" t="s">
        <v>197</v>
      </c>
      <c r="C30" s="8">
        <v>8</v>
      </c>
      <c r="D30" s="8">
        <v>2</v>
      </c>
      <c r="E30" s="7" t="s">
        <v>277</v>
      </c>
      <c r="F30" s="8" t="s">
        <v>278</v>
      </c>
    </row>
    <row r="31" spans="1:6" ht="54.75">
      <c r="A31" s="145" t="s">
        <v>164</v>
      </c>
      <c r="B31" s="146" t="s">
        <v>166</v>
      </c>
      <c r="C31" s="145">
        <v>9</v>
      </c>
      <c r="D31" s="145">
        <v>5</v>
      </c>
      <c r="E31" s="147" t="s">
        <v>277</v>
      </c>
      <c r="F31" s="145" t="s">
        <v>276</v>
      </c>
    </row>
    <row r="32" spans="1:6" ht="41.25">
      <c r="A32" s="8" t="s">
        <v>168</v>
      </c>
      <c r="B32" s="2" t="s">
        <v>170</v>
      </c>
      <c r="C32" s="8">
        <v>8</v>
      </c>
      <c r="D32" s="8">
        <v>3</v>
      </c>
      <c r="E32" s="7" t="s">
        <v>279</v>
      </c>
      <c r="F32" s="8" t="s">
        <v>278</v>
      </c>
    </row>
    <row r="33" spans="1:6" ht="41.25">
      <c r="A33" s="8" t="s">
        <v>172</v>
      </c>
      <c r="B33" s="2" t="s">
        <v>174</v>
      </c>
      <c r="C33" s="8">
        <v>8</v>
      </c>
      <c r="D33" s="8">
        <v>5</v>
      </c>
      <c r="E33" s="7" t="s">
        <v>277</v>
      </c>
      <c r="F33" s="8" t="s">
        <v>278</v>
      </c>
    </row>
    <row r="34" spans="1:6" ht="54.75">
      <c r="A34" s="8" t="s">
        <v>190</v>
      </c>
      <c r="B34" s="2" t="s">
        <v>192</v>
      </c>
      <c r="C34" s="8">
        <v>8</v>
      </c>
      <c r="D34" s="8">
        <v>5</v>
      </c>
      <c r="E34" s="7" t="s">
        <v>279</v>
      </c>
      <c r="F34" s="8" t="s">
        <v>278</v>
      </c>
    </row>
    <row r="35" spans="1:6" ht="41.25">
      <c r="A35" s="8" t="s">
        <v>106</v>
      </c>
      <c r="B35" s="2" t="s">
        <v>108</v>
      </c>
      <c r="C35" s="8">
        <v>6</v>
      </c>
      <c r="D35" s="8">
        <v>2</v>
      </c>
      <c r="E35" s="7" t="s">
        <v>277</v>
      </c>
      <c r="F35" s="8" t="s">
        <v>280</v>
      </c>
    </row>
    <row r="36" spans="1:6" ht="41.25">
      <c r="A36" s="145" t="s">
        <v>159</v>
      </c>
      <c r="B36" s="146" t="s">
        <v>161</v>
      </c>
      <c r="C36" s="145">
        <v>10</v>
      </c>
      <c r="D36" s="145">
        <v>5</v>
      </c>
      <c r="E36" s="147" t="s">
        <v>275</v>
      </c>
      <c r="F36" s="145" t="s">
        <v>276</v>
      </c>
    </row>
    <row r="37" spans="1:6" ht="41.25">
      <c r="A37" s="8" t="s">
        <v>214</v>
      </c>
      <c r="B37" s="2" t="s">
        <v>216</v>
      </c>
      <c r="C37" s="8">
        <v>9</v>
      </c>
      <c r="D37" s="8">
        <v>5</v>
      </c>
      <c r="E37" s="7" t="s">
        <v>277</v>
      </c>
      <c r="F37" s="8" t="s">
        <v>276</v>
      </c>
    </row>
    <row r="38" spans="1:6" ht="54.75">
      <c r="A38" s="145" t="s">
        <v>218</v>
      </c>
      <c r="B38" s="146" t="s">
        <v>220</v>
      </c>
      <c r="C38" s="145">
        <v>9</v>
      </c>
      <c r="D38" s="145">
        <v>3</v>
      </c>
      <c r="E38" s="147" t="s">
        <v>277</v>
      </c>
      <c r="F38" s="145" t="s">
        <v>276</v>
      </c>
    </row>
    <row r="39" spans="1:6" ht="54.75">
      <c r="A39" s="8" t="s">
        <v>222</v>
      </c>
      <c r="B39" s="2" t="s">
        <v>224</v>
      </c>
      <c r="C39" s="8">
        <v>8</v>
      </c>
      <c r="D39" s="8">
        <v>2</v>
      </c>
      <c r="E39" s="7" t="s">
        <v>277</v>
      </c>
      <c r="F39" s="8" t="s">
        <v>278</v>
      </c>
    </row>
    <row r="40" spans="1:6" ht="41.25">
      <c r="A40" s="8" t="s">
        <v>205</v>
      </c>
      <c r="B40" s="2" t="s">
        <v>207</v>
      </c>
      <c r="C40" s="8">
        <v>7</v>
      </c>
      <c r="D40" s="8">
        <v>2</v>
      </c>
      <c r="E40" s="7" t="s">
        <v>279</v>
      </c>
      <c r="F40" s="8" t="s">
        <v>278</v>
      </c>
    </row>
    <row r="41" spans="1:6" ht="54.75">
      <c r="A41" s="145" t="s">
        <v>209</v>
      </c>
      <c r="B41" s="146" t="s">
        <v>211</v>
      </c>
      <c r="C41" s="145">
        <v>8</v>
      </c>
      <c r="D41" s="145">
        <v>5</v>
      </c>
      <c r="E41" s="147" t="s">
        <v>279</v>
      </c>
      <c r="F41" s="145" t="s">
        <v>278</v>
      </c>
    </row>
    <row r="42" spans="1:6" ht="41.25">
      <c r="A42" s="8" t="s">
        <v>49</v>
      </c>
      <c r="B42" s="2" t="s">
        <v>51</v>
      </c>
      <c r="C42" s="8">
        <v>8</v>
      </c>
      <c r="D42" s="8">
        <v>8</v>
      </c>
      <c r="E42" s="7" t="s">
        <v>277</v>
      </c>
      <c r="F42" s="8" t="s">
        <v>278</v>
      </c>
    </row>
    <row r="43" spans="1:6" ht="54.75">
      <c r="A43" s="8" t="s">
        <v>226</v>
      </c>
      <c r="B43" s="2" t="s">
        <v>228</v>
      </c>
      <c r="C43" s="8">
        <v>8</v>
      </c>
      <c r="D43" s="8">
        <v>8</v>
      </c>
      <c r="E43" s="7" t="s">
        <v>275</v>
      </c>
      <c r="F43" s="8" t="s">
        <v>276</v>
      </c>
    </row>
    <row r="44" spans="1:6" ht="68.25">
      <c r="A44" s="145" t="s">
        <v>231</v>
      </c>
      <c r="B44" s="146" t="s">
        <v>233</v>
      </c>
      <c r="C44" s="145">
        <v>10</v>
      </c>
      <c r="D44" s="145">
        <v>5</v>
      </c>
      <c r="E44" s="147" t="s">
        <v>277</v>
      </c>
      <c r="F44" s="145" t="s">
        <v>276</v>
      </c>
    </row>
    <row r="45" spans="1:6" ht="54.75">
      <c r="A45" s="145" t="s">
        <v>235</v>
      </c>
      <c r="B45" s="146" t="s">
        <v>237</v>
      </c>
      <c r="C45" s="145">
        <v>9</v>
      </c>
      <c r="D45" s="145">
        <v>5</v>
      </c>
      <c r="E45" s="147" t="s">
        <v>279</v>
      </c>
      <c r="F45" s="145" t="s">
        <v>276</v>
      </c>
    </row>
    <row r="46" spans="1:6" ht="41.25">
      <c r="A46" s="145" t="s">
        <v>239</v>
      </c>
      <c r="B46" s="146" t="s">
        <v>241</v>
      </c>
      <c r="C46" s="145">
        <v>9</v>
      </c>
      <c r="D46" s="145">
        <v>3</v>
      </c>
      <c r="E46" s="147" t="s">
        <v>277</v>
      </c>
      <c r="F46" s="145" t="s">
        <v>276</v>
      </c>
    </row>
    <row r="47" spans="1:6" ht="54.75">
      <c r="A47" s="8" t="s">
        <v>244</v>
      </c>
      <c r="B47" s="2" t="s">
        <v>246</v>
      </c>
      <c r="C47" s="8">
        <v>7</v>
      </c>
      <c r="D47" s="8">
        <v>3</v>
      </c>
      <c r="E47" s="7" t="s">
        <v>277</v>
      </c>
      <c r="F47" s="8" t="s">
        <v>278</v>
      </c>
    </row>
    <row r="48" spans="1:6" ht="54.75">
      <c r="A48" s="8" t="s">
        <v>249</v>
      </c>
      <c r="B48" s="2" t="s">
        <v>251</v>
      </c>
      <c r="C48" s="8">
        <v>10</v>
      </c>
      <c r="D48" s="8">
        <v>5</v>
      </c>
      <c r="E48" s="7" t="s">
        <v>275</v>
      </c>
      <c r="F48" s="8" t="s">
        <v>276</v>
      </c>
    </row>
    <row r="49" spans="1:6" ht="41.25">
      <c r="A49" s="145" t="s">
        <v>253</v>
      </c>
      <c r="B49" s="146" t="s">
        <v>255</v>
      </c>
      <c r="C49" s="145">
        <v>9</v>
      </c>
      <c r="D49" s="145">
        <v>2</v>
      </c>
      <c r="E49" s="147" t="s">
        <v>279</v>
      </c>
      <c r="F49" s="145" t="s">
        <v>276</v>
      </c>
    </row>
    <row r="50" spans="1:6" ht="54.75">
      <c r="A50" s="8" t="s">
        <v>257</v>
      </c>
      <c r="B50" s="2" t="s">
        <v>259</v>
      </c>
      <c r="C50" s="8">
        <v>7</v>
      </c>
      <c r="D50" s="8">
        <v>2</v>
      </c>
      <c r="E50" s="7" t="s">
        <v>277</v>
      </c>
      <c r="F50" s="8" t="s">
        <v>278</v>
      </c>
    </row>
    <row r="51" spans="1:6" ht="41.25">
      <c r="A51" s="145" t="s">
        <v>261</v>
      </c>
      <c r="B51" s="146" t="s">
        <v>263</v>
      </c>
      <c r="C51" s="145">
        <v>8</v>
      </c>
      <c r="D51" s="145">
        <v>2</v>
      </c>
      <c r="E51" s="147" t="s">
        <v>279</v>
      </c>
      <c r="F51" s="145" t="s">
        <v>278</v>
      </c>
    </row>
    <row r="52" spans="1:6" ht="41.25">
      <c r="A52" s="8" t="s">
        <v>79</v>
      </c>
      <c r="B52" s="2" t="s">
        <v>81</v>
      </c>
      <c r="C52" s="8">
        <v>7</v>
      </c>
      <c r="D52" s="8">
        <v>3</v>
      </c>
      <c r="E52" s="7" t="s">
        <v>275</v>
      </c>
      <c r="F52" s="8" t="s">
        <v>278</v>
      </c>
    </row>
    <row r="53" spans="1:6" ht="54.75">
      <c r="A53" s="145" t="s">
        <v>83</v>
      </c>
      <c r="B53" s="146" t="s">
        <v>85</v>
      </c>
      <c r="C53" s="145">
        <v>8</v>
      </c>
      <c r="D53" s="145">
        <v>5</v>
      </c>
      <c r="E53" s="147" t="s">
        <v>275</v>
      </c>
      <c r="F53" s="145" t="s">
        <v>276</v>
      </c>
    </row>
    <row r="54" spans="1:6" ht="41.25">
      <c r="A54" s="8" t="s">
        <v>87</v>
      </c>
      <c r="B54" s="2" t="s">
        <v>89</v>
      </c>
      <c r="C54" s="8">
        <v>7</v>
      </c>
      <c r="D54" s="8">
        <v>3</v>
      </c>
      <c r="E54" s="7" t="s">
        <v>275</v>
      </c>
      <c r="F54" s="8" t="s">
        <v>278</v>
      </c>
    </row>
    <row r="55" spans="1:6" ht="41.25">
      <c r="A55" s="8" t="s">
        <v>53</v>
      </c>
      <c r="B55" s="2" t="s">
        <v>55</v>
      </c>
      <c r="C55" s="8">
        <v>7</v>
      </c>
      <c r="D55" s="8">
        <v>2</v>
      </c>
      <c r="E55" s="7" t="s">
        <v>277</v>
      </c>
      <c r="F55" s="8" t="s">
        <v>278</v>
      </c>
    </row>
    <row r="56" spans="1:6" ht="54.75">
      <c r="A56" s="8" t="s">
        <v>57</v>
      </c>
      <c r="B56" s="2" t="s">
        <v>59</v>
      </c>
      <c r="C56" s="8">
        <v>6</v>
      </c>
      <c r="D56" s="8">
        <v>8</v>
      </c>
      <c r="E56" s="7" t="s">
        <v>277</v>
      </c>
      <c r="F56" s="8" t="s">
        <v>280</v>
      </c>
    </row>
    <row r="57" spans="1:6" ht="54.75">
      <c r="A57" s="8" t="s">
        <v>61</v>
      </c>
      <c r="B57" s="2" t="s">
        <v>63</v>
      </c>
      <c r="C57" s="8">
        <v>6</v>
      </c>
      <c r="D57" s="8">
        <v>3</v>
      </c>
      <c r="E57" s="7" t="s">
        <v>279</v>
      </c>
      <c r="F57" s="8" t="s">
        <v>280</v>
      </c>
    </row>
    <row r="58" spans="1:6" ht="41.25">
      <c r="A58" s="8" t="s">
        <v>65</v>
      </c>
      <c r="B58" s="2" t="s">
        <v>67</v>
      </c>
      <c r="C58" s="8">
        <v>5</v>
      </c>
      <c r="D58" s="8">
        <v>2</v>
      </c>
      <c r="E58" s="7" t="s">
        <v>279</v>
      </c>
      <c r="F58" s="8" t="s">
        <v>280</v>
      </c>
    </row>
    <row r="59" spans="1:6" ht="54.75">
      <c r="A59" s="8" t="s">
        <v>44</v>
      </c>
      <c r="B59" s="2" t="s">
        <v>282</v>
      </c>
      <c r="C59" s="8">
        <v>5</v>
      </c>
      <c r="D59" s="8">
        <v>2</v>
      </c>
      <c r="E59" s="7" t="s">
        <v>275</v>
      </c>
      <c r="F59" s="8" t="s">
        <v>280</v>
      </c>
    </row>
    <row r="60" spans="1:6" ht="27.75">
      <c r="A60" s="8" t="s">
        <v>266</v>
      </c>
      <c r="B60" s="2" t="s">
        <v>267</v>
      </c>
      <c r="C60" s="8">
        <v>5</v>
      </c>
      <c r="D60" s="8">
        <v>4</v>
      </c>
      <c r="E60" s="7" t="s">
        <v>275</v>
      </c>
      <c r="F60" s="8" t="s">
        <v>276</v>
      </c>
    </row>
  </sheetData>
  <autoFilter ref="A1:F59" xr:uid="{00000000-0001-0000-0000-000000000000}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workbookViewId="0">
      <selection activeCell="F6" sqref="F6"/>
    </sheetView>
  </sheetViews>
  <sheetFormatPr defaultColWidth="9.140625" defaultRowHeight="15"/>
  <cols>
    <col min="1" max="1" width="29" style="5" customWidth="1"/>
    <col min="2" max="2" width="17.140625" style="5" customWidth="1"/>
    <col min="3" max="3" width="24.7109375" style="10" customWidth="1"/>
    <col min="4" max="4" width="20.28515625" style="5" customWidth="1"/>
    <col min="5" max="6" width="18.5703125" style="5" customWidth="1"/>
    <col min="7" max="7" width="9.140625" style="5"/>
    <col min="8" max="8" width="63.42578125" style="5" customWidth="1"/>
    <col min="9" max="16384" width="9.140625" style="5"/>
  </cols>
  <sheetData>
    <row r="1" spans="1:6" ht="53.25" customHeight="1">
      <c r="A1" s="1" t="s">
        <v>284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289</v>
      </c>
    </row>
    <row r="2" spans="1:6">
      <c r="A2" s="8" t="s">
        <v>290</v>
      </c>
      <c r="B2" s="1">
        <v>1</v>
      </c>
      <c r="C2" s="1">
        <v>6</v>
      </c>
      <c r="D2" s="1">
        <v>5</v>
      </c>
      <c r="E2" s="1">
        <f>C2*D2*B2</f>
        <v>30</v>
      </c>
      <c r="F2" s="1">
        <f>E2*0.8</f>
        <v>24</v>
      </c>
    </row>
    <row r="3" spans="1:6">
      <c r="A3" s="8" t="s">
        <v>291</v>
      </c>
      <c r="B3" s="1">
        <v>1</v>
      </c>
      <c r="C3" s="1">
        <v>6</v>
      </c>
      <c r="D3" s="1">
        <v>5</v>
      </c>
      <c r="E3" s="1">
        <f t="shared" ref="E3:E5" si="0">C3*D3*B3</f>
        <v>30</v>
      </c>
      <c r="F3" s="1">
        <f t="shared" ref="F3:F5" si="1">E3*0.8</f>
        <v>24</v>
      </c>
    </row>
    <row r="4" spans="1:6">
      <c r="A4" s="8" t="s">
        <v>292</v>
      </c>
      <c r="B4" s="1">
        <v>1</v>
      </c>
      <c r="C4" s="1">
        <v>6</v>
      </c>
      <c r="D4" s="1">
        <v>5</v>
      </c>
      <c r="E4" s="1">
        <f t="shared" si="0"/>
        <v>30</v>
      </c>
      <c r="F4" s="1">
        <f t="shared" si="1"/>
        <v>24</v>
      </c>
    </row>
    <row r="5" spans="1:6">
      <c r="A5" s="8" t="s">
        <v>293</v>
      </c>
      <c r="B5" s="1">
        <v>1</v>
      </c>
      <c r="C5" s="1">
        <v>7</v>
      </c>
      <c r="D5" s="1">
        <v>5</v>
      </c>
      <c r="E5" s="1">
        <f t="shared" si="0"/>
        <v>35</v>
      </c>
      <c r="F5" s="1">
        <f t="shared" si="1"/>
        <v>28</v>
      </c>
    </row>
    <row r="6" spans="1:6">
      <c r="D6" s="173" t="s">
        <v>294</v>
      </c>
      <c r="E6" s="173"/>
      <c r="F6" s="1">
        <f>SUM(F2:F5)</f>
        <v>100</v>
      </c>
    </row>
    <row r="7" spans="1:6">
      <c r="D7" s="173" t="s">
        <v>295</v>
      </c>
      <c r="E7" s="173"/>
      <c r="F7" s="12">
        <f>F6/4</f>
        <v>25</v>
      </c>
    </row>
    <row r="8" spans="1:6">
      <c r="A8" s="11" t="s">
        <v>287</v>
      </c>
    </row>
    <row r="9" spans="1:6">
      <c r="A9" s="5" t="s">
        <v>296</v>
      </c>
    </row>
    <row r="10" spans="1:6">
      <c r="A10" t="s">
        <v>297</v>
      </c>
    </row>
    <row r="13" spans="1:6">
      <c r="A13" s="11" t="s">
        <v>288</v>
      </c>
      <c r="B13" s="10"/>
      <c r="C13" s="5"/>
    </row>
    <row r="14" spans="1:6">
      <c r="A14" s="9" t="s">
        <v>298</v>
      </c>
      <c r="B14" s="10"/>
      <c r="C14" s="5"/>
    </row>
    <row r="15" spans="1:6">
      <c r="A15" s="11" t="s">
        <v>299</v>
      </c>
      <c r="B15" s="10"/>
      <c r="C15" s="5"/>
    </row>
    <row r="16" spans="1:6">
      <c r="B16" s="10"/>
      <c r="C16" s="5"/>
    </row>
    <row r="17" spans="1:3">
      <c r="A17" s="5" t="s">
        <v>300</v>
      </c>
      <c r="B17" s="10"/>
      <c r="C17" s="5"/>
    </row>
    <row r="18" spans="1:3">
      <c r="A18" s="56" t="s">
        <v>301</v>
      </c>
      <c r="B18" s="10"/>
      <c r="C18" s="5"/>
    </row>
    <row r="19" spans="1:3">
      <c r="A19" s="5" t="s">
        <v>302</v>
      </c>
      <c r="B19" s="10"/>
      <c r="C19" s="5"/>
    </row>
    <row r="20" spans="1:3">
      <c r="A20" s="5" t="s">
        <v>303</v>
      </c>
      <c r="B20" s="10"/>
      <c r="C20" s="5"/>
    </row>
    <row r="21" spans="1:3">
      <c r="A21" s="5" t="s">
        <v>304</v>
      </c>
      <c r="B21" s="10"/>
      <c r="C21" s="5"/>
    </row>
    <row r="22" spans="1:3">
      <c r="A22" s="5" t="s">
        <v>305</v>
      </c>
      <c r="B22" s="10"/>
      <c r="C22" s="5"/>
    </row>
    <row r="23" spans="1:3">
      <c r="A23" s="5" t="s">
        <v>306</v>
      </c>
      <c r="B23" s="10"/>
      <c r="C23" s="5"/>
    </row>
    <row r="24" spans="1:3">
      <c r="B24" s="10"/>
      <c r="C24" s="5"/>
    </row>
    <row r="25" spans="1:3">
      <c r="B25" s="10"/>
      <c r="C25" s="5"/>
    </row>
    <row r="26" spans="1:3">
      <c r="A26" s="13" t="s">
        <v>307</v>
      </c>
      <c r="B26" s="10"/>
      <c r="C26" s="5"/>
    </row>
    <row r="27" spans="1:3">
      <c r="A27" s="11" t="s">
        <v>308</v>
      </c>
      <c r="B27" s="10"/>
      <c r="C27" s="5"/>
    </row>
    <row r="28" spans="1:3">
      <c r="A28" s="174" t="s">
        <v>309</v>
      </c>
      <c r="B28" s="174"/>
      <c r="C28" s="174"/>
    </row>
    <row r="29" spans="1:3">
      <c r="A29" t="s">
        <v>310</v>
      </c>
      <c r="B29" s="10"/>
      <c r="C29" s="5"/>
    </row>
  </sheetData>
  <mergeCells count="3">
    <mergeCell ref="D6:E6"/>
    <mergeCell ref="D7:E7"/>
    <mergeCell ref="A28:C28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0"/>
  <sheetViews>
    <sheetView zoomScale="85" zoomScaleNormal="85" workbookViewId="0">
      <selection activeCell="E1" sqref="E1:E1048576"/>
    </sheetView>
  </sheetViews>
  <sheetFormatPr defaultColWidth="9.140625" defaultRowHeight="15"/>
  <cols>
    <col min="1" max="1" width="9.140625" style="5" bestFit="1" customWidth="1"/>
    <col min="2" max="2" width="23.42578125" style="5" customWidth="1"/>
    <col min="3" max="4" width="16.7109375" style="5" customWidth="1"/>
    <col min="5" max="5" width="14" style="5" customWidth="1"/>
    <col min="6" max="6" width="112" style="5" customWidth="1"/>
    <col min="7" max="8" width="17.85546875" style="10" customWidth="1"/>
    <col min="9" max="16384" width="9.140625" style="5"/>
  </cols>
  <sheetData>
    <row r="1" spans="1:8">
      <c r="A1" s="97" t="s">
        <v>311</v>
      </c>
      <c r="B1" s="97" t="s">
        <v>312</v>
      </c>
      <c r="C1" s="97" t="s">
        <v>313</v>
      </c>
      <c r="D1" s="97" t="s">
        <v>314</v>
      </c>
      <c r="E1" s="97" t="s">
        <v>1</v>
      </c>
      <c r="F1" s="97" t="s">
        <v>270</v>
      </c>
      <c r="G1" s="97" t="s">
        <v>272</v>
      </c>
      <c r="H1" s="97" t="s">
        <v>315</v>
      </c>
    </row>
    <row r="2" spans="1:8" ht="54.75">
      <c r="A2" s="178" t="s">
        <v>316</v>
      </c>
      <c r="B2" s="107" t="s">
        <v>5</v>
      </c>
      <c r="C2" s="29" t="s">
        <v>317</v>
      </c>
      <c r="D2" s="18" t="s">
        <v>318</v>
      </c>
      <c r="E2" s="17" t="s">
        <v>6</v>
      </c>
      <c r="F2" s="17" t="s">
        <v>319</v>
      </c>
      <c r="G2" s="18">
        <v>5</v>
      </c>
      <c r="H2" s="18" t="s">
        <v>276</v>
      </c>
    </row>
    <row r="3" spans="1:8" ht="54.75">
      <c r="A3" s="179"/>
      <c r="B3" s="162" t="s">
        <v>11</v>
      </c>
      <c r="C3" s="18" t="s">
        <v>318</v>
      </c>
      <c r="D3" s="18" t="s">
        <v>318</v>
      </c>
      <c r="E3" s="17" t="s">
        <v>12</v>
      </c>
      <c r="F3" s="17" t="s">
        <v>14</v>
      </c>
      <c r="G3" s="18">
        <v>2</v>
      </c>
      <c r="H3" s="18" t="s">
        <v>276</v>
      </c>
    </row>
    <row r="4" spans="1:8" ht="41.25">
      <c r="A4" s="179"/>
      <c r="B4" s="162"/>
      <c r="C4" s="18" t="s">
        <v>318</v>
      </c>
      <c r="D4" s="22" t="s">
        <v>320</v>
      </c>
      <c r="E4" s="17" t="s">
        <v>16</v>
      </c>
      <c r="F4" s="17" t="s">
        <v>18</v>
      </c>
      <c r="G4" s="18">
        <v>5</v>
      </c>
      <c r="H4" s="18" t="s">
        <v>276</v>
      </c>
    </row>
    <row r="5" spans="1:8" ht="54.75">
      <c r="A5" s="179"/>
      <c r="B5" s="162"/>
      <c r="C5" s="22" t="s">
        <v>320</v>
      </c>
      <c r="D5" s="48" t="s">
        <v>321</v>
      </c>
      <c r="E5" s="17" t="s">
        <v>20</v>
      </c>
      <c r="F5" s="17" t="s">
        <v>22</v>
      </c>
      <c r="G5" s="18">
        <v>5</v>
      </c>
      <c r="H5" s="18" t="s">
        <v>280</v>
      </c>
    </row>
    <row r="6" spans="1:8" ht="41.25">
      <c r="A6" s="180"/>
      <c r="B6" s="107" t="s">
        <v>24</v>
      </c>
      <c r="C6" s="48" t="s">
        <v>321</v>
      </c>
      <c r="D6" s="29" t="s">
        <v>322</v>
      </c>
      <c r="E6" s="17" t="s">
        <v>25</v>
      </c>
      <c r="F6" s="17" t="s">
        <v>323</v>
      </c>
      <c r="G6" s="18">
        <v>2</v>
      </c>
      <c r="H6" s="18" t="s">
        <v>278</v>
      </c>
    </row>
    <row r="7" spans="1:8">
      <c r="A7" s="24"/>
      <c r="B7" s="25"/>
      <c r="C7" s="25"/>
      <c r="D7" s="25"/>
      <c r="E7" s="25"/>
      <c r="F7" s="26" t="s">
        <v>324</v>
      </c>
      <c r="G7" s="26">
        <f>G2+G3+G4+G5+G6</f>
        <v>19</v>
      </c>
      <c r="H7" s="27"/>
    </row>
    <row r="9" spans="1:8">
      <c r="A9" s="23" t="s">
        <v>311</v>
      </c>
      <c r="B9" s="23" t="s">
        <v>312</v>
      </c>
      <c r="C9" s="23" t="s">
        <v>313</v>
      </c>
      <c r="D9" s="23" t="s">
        <v>314</v>
      </c>
      <c r="E9" s="23" t="s">
        <v>1</v>
      </c>
      <c r="F9" s="23" t="s">
        <v>270</v>
      </c>
      <c r="G9" s="23" t="s">
        <v>272</v>
      </c>
      <c r="H9" s="23" t="s">
        <v>315</v>
      </c>
    </row>
    <row r="10" spans="1:8" ht="68.25">
      <c r="A10" s="177" t="s">
        <v>325</v>
      </c>
      <c r="B10" s="34" t="s">
        <v>29</v>
      </c>
      <c r="C10" s="29" t="s">
        <v>326</v>
      </c>
      <c r="D10" s="48" t="s">
        <v>326</v>
      </c>
      <c r="E10" s="17" t="s">
        <v>30</v>
      </c>
      <c r="F10" s="17" t="s">
        <v>283</v>
      </c>
      <c r="G10" s="18">
        <v>3</v>
      </c>
      <c r="H10" s="18" t="s">
        <v>276</v>
      </c>
    </row>
    <row r="11" spans="1:8" ht="54.75">
      <c r="A11" s="177"/>
      <c r="B11" s="161" t="s">
        <v>34</v>
      </c>
      <c r="C11" s="48" t="s">
        <v>326</v>
      </c>
      <c r="D11" s="18" t="s">
        <v>327</v>
      </c>
      <c r="E11" s="17" t="s">
        <v>35</v>
      </c>
      <c r="F11" s="17" t="s">
        <v>37</v>
      </c>
      <c r="G11" s="18">
        <v>5</v>
      </c>
      <c r="H11" s="18" t="s">
        <v>278</v>
      </c>
    </row>
    <row r="12" spans="1:8" ht="54.75">
      <c r="A12" s="177"/>
      <c r="B12" s="161"/>
      <c r="C12" s="18" t="s">
        <v>327</v>
      </c>
      <c r="D12" s="48" t="s">
        <v>328</v>
      </c>
      <c r="E12" s="17" t="s">
        <v>39</v>
      </c>
      <c r="F12" s="17" t="s">
        <v>41</v>
      </c>
      <c r="G12" s="18">
        <v>5</v>
      </c>
      <c r="H12" s="18" t="s">
        <v>276</v>
      </c>
    </row>
    <row r="13" spans="1:8" ht="41.25">
      <c r="A13" s="177"/>
      <c r="B13" s="34" t="s">
        <v>43</v>
      </c>
      <c r="C13" s="48" t="s">
        <v>328</v>
      </c>
      <c r="D13" s="48" t="s">
        <v>328</v>
      </c>
      <c r="E13" s="17" t="s">
        <v>44</v>
      </c>
      <c r="F13" s="17" t="s">
        <v>282</v>
      </c>
      <c r="G13" s="18">
        <v>2</v>
      </c>
      <c r="H13" s="18" t="s">
        <v>280</v>
      </c>
    </row>
    <row r="14" spans="1:8" ht="41.25">
      <c r="A14" s="177"/>
      <c r="B14" s="34" t="s">
        <v>48</v>
      </c>
      <c r="C14" s="48" t="s">
        <v>328</v>
      </c>
      <c r="D14" s="30" t="s">
        <v>329</v>
      </c>
      <c r="E14" s="17" t="s">
        <v>49</v>
      </c>
      <c r="F14" s="17" t="s">
        <v>51</v>
      </c>
      <c r="G14" s="18">
        <v>8</v>
      </c>
      <c r="H14" s="18" t="s">
        <v>278</v>
      </c>
    </row>
    <row r="15" spans="1:8">
      <c r="A15" s="24"/>
      <c r="B15" s="25"/>
      <c r="C15" s="25"/>
      <c r="D15" s="25"/>
      <c r="E15" s="25"/>
      <c r="F15" s="26" t="s">
        <v>330</v>
      </c>
      <c r="G15" s="26">
        <f>G10+G11+G12+G13+G14</f>
        <v>23</v>
      </c>
      <c r="H15" s="27"/>
    </row>
    <row r="17" spans="1:8">
      <c r="A17" s="23" t="s">
        <v>311</v>
      </c>
      <c r="B17" s="23" t="s">
        <v>312</v>
      </c>
      <c r="C17" s="23" t="s">
        <v>313</v>
      </c>
      <c r="D17" s="23" t="s">
        <v>314</v>
      </c>
      <c r="E17" s="23" t="s">
        <v>1</v>
      </c>
      <c r="F17" s="23" t="s">
        <v>270</v>
      </c>
      <c r="G17" s="23" t="s">
        <v>272</v>
      </c>
      <c r="H17" s="23" t="s">
        <v>315</v>
      </c>
    </row>
    <row r="18" spans="1:8" ht="41.25">
      <c r="A18" s="177" t="s">
        <v>331</v>
      </c>
      <c r="B18" s="165" t="s">
        <v>48</v>
      </c>
      <c r="C18" s="30" t="s">
        <v>332</v>
      </c>
      <c r="D18" s="18" t="s">
        <v>332</v>
      </c>
      <c r="E18" s="17" t="s">
        <v>53</v>
      </c>
      <c r="F18" s="17" t="s">
        <v>55</v>
      </c>
      <c r="G18" s="18">
        <v>2</v>
      </c>
      <c r="H18" s="18" t="s">
        <v>280</v>
      </c>
    </row>
    <row r="19" spans="1:8" ht="54.75">
      <c r="A19" s="177"/>
      <c r="B19" s="181"/>
      <c r="C19" s="18" t="s">
        <v>332</v>
      </c>
      <c r="D19" s="18" t="s">
        <v>333</v>
      </c>
      <c r="E19" s="17" t="s">
        <v>57</v>
      </c>
      <c r="F19" s="17" t="s">
        <v>59</v>
      </c>
      <c r="G19" s="18">
        <v>8</v>
      </c>
      <c r="H19" s="18" t="s">
        <v>280</v>
      </c>
    </row>
    <row r="20" spans="1:8" ht="54.75">
      <c r="A20" s="177"/>
      <c r="B20" s="181"/>
      <c r="C20" s="18" t="s">
        <v>333</v>
      </c>
      <c r="D20" s="18" t="s">
        <v>333</v>
      </c>
      <c r="E20" s="17" t="s">
        <v>61</v>
      </c>
      <c r="F20" s="17" t="s">
        <v>63</v>
      </c>
      <c r="G20" s="18">
        <v>3</v>
      </c>
      <c r="H20" s="18" t="s">
        <v>280</v>
      </c>
    </row>
    <row r="21" spans="1:8" ht="41.25">
      <c r="A21" s="177"/>
      <c r="B21" s="182"/>
      <c r="C21" s="18" t="s">
        <v>333</v>
      </c>
      <c r="D21" s="18" t="s">
        <v>334</v>
      </c>
      <c r="E21" s="17" t="s">
        <v>65</v>
      </c>
      <c r="F21" s="17" t="s">
        <v>67</v>
      </c>
      <c r="G21" s="18">
        <v>2</v>
      </c>
      <c r="H21" s="18" t="s">
        <v>280</v>
      </c>
    </row>
    <row r="22" spans="1:8" ht="41.25">
      <c r="A22" s="177"/>
      <c r="B22" s="161" t="s">
        <v>69</v>
      </c>
      <c r="C22" s="18" t="s">
        <v>334</v>
      </c>
      <c r="D22" s="18" t="s">
        <v>334</v>
      </c>
      <c r="E22" s="17" t="s">
        <v>70</v>
      </c>
      <c r="F22" s="17" t="s">
        <v>72</v>
      </c>
      <c r="G22" s="18">
        <v>3</v>
      </c>
      <c r="H22" s="18" t="s">
        <v>280</v>
      </c>
    </row>
    <row r="23" spans="1:8" ht="41.25">
      <c r="A23" s="177"/>
      <c r="B23" s="161"/>
      <c r="C23" s="18" t="s">
        <v>334</v>
      </c>
      <c r="D23" s="29" t="s">
        <v>335</v>
      </c>
      <c r="E23" s="17" t="s">
        <v>74</v>
      </c>
      <c r="F23" s="17" t="s">
        <v>76</v>
      </c>
      <c r="G23" s="18">
        <v>5</v>
      </c>
      <c r="H23" s="18" t="s">
        <v>278</v>
      </c>
    </row>
    <row r="24" spans="1:8">
      <c r="A24" s="24"/>
      <c r="B24" s="25"/>
      <c r="C24" s="25"/>
      <c r="D24" s="25"/>
      <c r="E24" s="25"/>
      <c r="F24" s="26" t="s">
        <v>336</v>
      </c>
      <c r="G24" s="26">
        <f>G18+G19+G20+G21+G22+G23</f>
        <v>23</v>
      </c>
      <c r="H24" s="27"/>
    </row>
    <row r="26" spans="1:8">
      <c r="A26" s="23" t="s">
        <v>311</v>
      </c>
      <c r="B26" s="23" t="s">
        <v>312</v>
      </c>
      <c r="C26" s="23" t="s">
        <v>313</v>
      </c>
      <c r="D26" s="23" t="s">
        <v>314</v>
      </c>
      <c r="E26" s="23" t="s">
        <v>1</v>
      </c>
      <c r="F26" s="23" t="s">
        <v>270</v>
      </c>
      <c r="G26" s="23" t="s">
        <v>272</v>
      </c>
      <c r="H26" s="23" t="s">
        <v>315</v>
      </c>
    </row>
    <row r="27" spans="1:8" ht="41.25">
      <c r="A27" s="178" t="s">
        <v>337</v>
      </c>
      <c r="B27" s="163" t="s">
        <v>78</v>
      </c>
      <c r="C27" s="29" t="s">
        <v>338</v>
      </c>
      <c r="D27" s="18" t="s">
        <v>338</v>
      </c>
      <c r="E27" s="2" t="s">
        <v>79</v>
      </c>
      <c r="F27" s="17" t="s">
        <v>81</v>
      </c>
      <c r="G27" s="18">
        <v>3</v>
      </c>
      <c r="H27" s="18" t="s">
        <v>278</v>
      </c>
    </row>
    <row r="28" spans="1:8" ht="54.75">
      <c r="A28" s="179"/>
      <c r="B28" s="188"/>
      <c r="C28" s="18" t="s">
        <v>338</v>
      </c>
      <c r="D28" s="18" t="s">
        <v>339</v>
      </c>
      <c r="E28" s="2" t="s">
        <v>83</v>
      </c>
      <c r="F28" s="17" t="s">
        <v>85</v>
      </c>
      <c r="G28" s="18">
        <v>5</v>
      </c>
      <c r="H28" s="18" t="s">
        <v>280</v>
      </c>
    </row>
    <row r="29" spans="1:8" ht="41.25">
      <c r="A29" s="179"/>
      <c r="B29" s="189"/>
      <c r="C29" s="18" t="s">
        <v>339</v>
      </c>
      <c r="D29" s="18" t="s">
        <v>340</v>
      </c>
      <c r="E29" s="2" t="s">
        <v>87</v>
      </c>
      <c r="F29" s="17" t="s">
        <v>89</v>
      </c>
      <c r="G29" s="18">
        <v>3</v>
      </c>
      <c r="H29" s="18" t="s">
        <v>278</v>
      </c>
    </row>
    <row r="30" spans="1:8" ht="54.75">
      <c r="A30" s="179"/>
      <c r="B30" s="108" t="s">
        <v>96</v>
      </c>
      <c r="C30" s="18" t="s">
        <v>340</v>
      </c>
      <c r="D30" s="22" t="s">
        <v>341</v>
      </c>
      <c r="E30" s="2" t="s">
        <v>97</v>
      </c>
      <c r="F30" s="17" t="s">
        <v>99</v>
      </c>
      <c r="G30" s="18">
        <v>5</v>
      </c>
      <c r="H30" s="18" t="s">
        <v>280</v>
      </c>
    </row>
    <row r="31" spans="1:8" ht="41.25">
      <c r="A31" s="180"/>
      <c r="B31" s="108" t="s">
        <v>91</v>
      </c>
      <c r="C31" s="22" t="s">
        <v>341</v>
      </c>
      <c r="D31" s="29" t="s">
        <v>342</v>
      </c>
      <c r="E31" s="2" t="s">
        <v>92</v>
      </c>
      <c r="F31" s="17" t="s">
        <v>94</v>
      </c>
      <c r="G31" s="18">
        <v>5</v>
      </c>
      <c r="H31" s="18" t="s">
        <v>280</v>
      </c>
    </row>
    <row r="32" spans="1:8">
      <c r="A32" s="24"/>
      <c r="B32" s="25"/>
      <c r="C32" s="25"/>
      <c r="D32" s="25"/>
      <c r="E32" s="25"/>
      <c r="F32" s="26" t="s">
        <v>343</v>
      </c>
      <c r="G32" s="26">
        <f>G27+G28+G29+G30+G31</f>
        <v>21</v>
      </c>
      <c r="H32" s="27"/>
    </row>
    <row r="34" spans="1:8">
      <c r="A34" s="23" t="s">
        <v>311</v>
      </c>
      <c r="B34" s="23" t="s">
        <v>312</v>
      </c>
      <c r="C34" s="23" t="s">
        <v>313</v>
      </c>
      <c r="D34" s="23" t="s">
        <v>314</v>
      </c>
      <c r="E34" s="23" t="s">
        <v>1</v>
      </c>
      <c r="F34" s="23" t="s">
        <v>270</v>
      </c>
      <c r="G34" s="23" t="s">
        <v>272</v>
      </c>
      <c r="H34" s="23" t="s">
        <v>315</v>
      </c>
    </row>
    <row r="35" spans="1:8" ht="54.75">
      <c r="A35" s="177" t="s">
        <v>344</v>
      </c>
      <c r="B35" s="164" t="s">
        <v>101</v>
      </c>
      <c r="C35" s="29" t="s">
        <v>345</v>
      </c>
      <c r="D35" s="18" t="s">
        <v>345</v>
      </c>
      <c r="E35" s="17" t="s">
        <v>102</v>
      </c>
      <c r="F35" s="17" t="s">
        <v>104</v>
      </c>
      <c r="G35" s="18">
        <v>2</v>
      </c>
      <c r="H35" s="18" t="s">
        <v>280</v>
      </c>
    </row>
    <row r="36" spans="1:8" ht="41.25">
      <c r="A36" s="177"/>
      <c r="B36" s="164"/>
      <c r="C36" s="18" t="s">
        <v>345</v>
      </c>
      <c r="D36" s="18" t="s">
        <v>345</v>
      </c>
      <c r="E36" s="17" t="s">
        <v>106</v>
      </c>
      <c r="F36" s="17" t="s">
        <v>108</v>
      </c>
      <c r="G36" s="18">
        <v>2</v>
      </c>
      <c r="H36" s="18" t="s">
        <v>280</v>
      </c>
    </row>
    <row r="37" spans="1:8" ht="54.75">
      <c r="A37" s="177"/>
      <c r="B37" s="171" t="s">
        <v>110</v>
      </c>
      <c r="C37" s="18" t="s">
        <v>345</v>
      </c>
      <c r="D37" s="18" t="s">
        <v>346</v>
      </c>
      <c r="E37" s="17" t="s">
        <v>111</v>
      </c>
      <c r="F37" s="17" t="s">
        <v>113</v>
      </c>
      <c r="G37" s="18">
        <v>5</v>
      </c>
      <c r="H37" s="18" t="s">
        <v>280</v>
      </c>
    </row>
    <row r="38" spans="1:8" ht="54.75">
      <c r="A38" s="177"/>
      <c r="B38" s="171"/>
      <c r="C38" s="18" t="s">
        <v>346</v>
      </c>
      <c r="D38" s="18" t="s">
        <v>346</v>
      </c>
      <c r="E38" s="17" t="s">
        <v>115</v>
      </c>
      <c r="F38" s="17" t="s">
        <v>117</v>
      </c>
      <c r="G38" s="18">
        <v>2</v>
      </c>
      <c r="H38" s="18" t="s">
        <v>280</v>
      </c>
    </row>
    <row r="39" spans="1:8" ht="41.25">
      <c r="A39" s="177"/>
      <c r="B39" s="44" t="s">
        <v>347</v>
      </c>
      <c r="C39" s="18" t="s">
        <v>346</v>
      </c>
      <c r="D39" s="18" t="s">
        <v>348</v>
      </c>
      <c r="E39" s="17" t="s">
        <v>120</v>
      </c>
      <c r="F39" s="21" t="s">
        <v>122</v>
      </c>
      <c r="G39" s="18">
        <v>2</v>
      </c>
      <c r="H39" s="18" t="s">
        <v>280</v>
      </c>
    </row>
    <row r="40" spans="1:8" ht="54.75">
      <c r="A40" s="177"/>
      <c r="B40" s="167" t="s">
        <v>349</v>
      </c>
      <c r="C40" s="18" t="s">
        <v>348</v>
      </c>
      <c r="D40" s="18" t="s">
        <v>348</v>
      </c>
      <c r="E40" s="17" t="s">
        <v>249</v>
      </c>
      <c r="F40" s="17" t="s">
        <v>251</v>
      </c>
      <c r="G40" s="18">
        <v>5</v>
      </c>
      <c r="H40" s="18" t="s">
        <v>276</v>
      </c>
    </row>
    <row r="41" spans="1:8" ht="41.25">
      <c r="A41" s="177"/>
      <c r="B41" s="167"/>
      <c r="C41" s="18" t="s">
        <v>348</v>
      </c>
      <c r="D41" s="18" t="s">
        <v>350</v>
      </c>
      <c r="E41" s="17" t="s">
        <v>253</v>
      </c>
      <c r="F41" s="17" t="s">
        <v>255</v>
      </c>
      <c r="G41" s="18">
        <v>2</v>
      </c>
      <c r="H41" s="18" t="s">
        <v>276</v>
      </c>
    </row>
    <row r="42" spans="1:8" ht="54.75">
      <c r="A42" s="177"/>
      <c r="B42" s="167"/>
      <c r="C42" s="18" t="s">
        <v>350</v>
      </c>
      <c r="D42" s="18" t="s">
        <v>351</v>
      </c>
      <c r="E42" s="17" t="s">
        <v>257</v>
      </c>
      <c r="F42" s="17" t="s">
        <v>259</v>
      </c>
      <c r="G42" s="18">
        <v>2</v>
      </c>
      <c r="H42" s="18" t="s">
        <v>278</v>
      </c>
    </row>
    <row r="43" spans="1:8" ht="41.25">
      <c r="A43" s="177"/>
      <c r="B43" s="167"/>
      <c r="C43" s="18" t="s">
        <v>351</v>
      </c>
      <c r="D43" s="30" t="s">
        <v>351</v>
      </c>
      <c r="E43" s="17" t="s">
        <v>261</v>
      </c>
      <c r="F43" s="17" t="s">
        <v>263</v>
      </c>
      <c r="G43" s="18">
        <v>2</v>
      </c>
      <c r="H43" s="18" t="s">
        <v>278</v>
      </c>
    </row>
    <row r="44" spans="1:8">
      <c r="A44" s="24"/>
      <c r="B44" s="25"/>
      <c r="C44" s="25"/>
      <c r="D44" s="25"/>
      <c r="E44" s="25"/>
      <c r="F44" s="26" t="s">
        <v>352</v>
      </c>
      <c r="G44" s="26">
        <f>G37+G38+G35+G36+G39+G40+G41+G42+G43</f>
        <v>24</v>
      </c>
      <c r="H44" s="27"/>
    </row>
    <row r="46" spans="1:8">
      <c r="A46" s="23" t="s">
        <v>311</v>
      </c>
      <c r="B46" s="23" t="s">
        <v>312</v>
      </c>
      <c r="C46" s="23" t="s">
        <v>313</v>
      </c>
      <c r="D46" s="23" t="s">
        <v>314</v>
      </c>
      <c r="E46" s="23" t="s">
        <v>1</v>
      </c>
      <c r="F46" s="23" t="s">
        <v>270</v>
      </c>
      <c r="G46" s="23" t="s">
        <v>272</v>
      </c>
      <c r="H46" s="23" t="s">
        <v>315</v>
      </c>
    </row>
    <row r="47" spans="1:8" ht="41.25">
      <c r="A47" s="177" t="s">
        <v>353</v>
      </c>
      <c r="B47" s="172" t="s">
        <v>124</v>
      </c>
      <c r="C47" s="29" t="s">
        <v>354</v>
      </c>
      <c r="D47" s="18" t="s">
        <v>355</v>
      </c>
      <c r="E47" s="17" t="s">
        <v>125</v>
      </c>
      <c r="F47" s="21" t="s">
        <v>127</v>
      </c>
      <c r="G47" s="18">
        <v>5</v>
      </c>
      <c r="H47" s="18" t="s">
        <v>276</v>
      </c>
    </row>
    <row r="48" spans="1:8" ht="41.25">
      <c r="A48" s="177"/>
      <c r="B48" s="172"/>
      <c r="C48" s="18" t="s">
        <v>355</v>
      </c>
      <c r="D48" s="18" t="s">
        <v>355</v>
      </c>
      <c r="E48" s="17" t="s">
        <v>129</v>
      </c>
      <c r="F48" s="21" t="s">
        <v>131</v>
      </c>
      <c r="G48" s="18">
        <v>3</v>
      </c>
      <c r="H48" s="18" t="s">
        <v>276</v>
      </c>
    </row>
    <row r="49" spans="1:8" ht="41.25">
      <c r="A49" s="177"/>
      <c r="B49" s="172"/>
      <c r="C49" s="18" t="s">
        <v>355</v>
      </c>
      <c r="D49" s="18" t="s">
        <v>355</v>
      </c>
      <c r="E49" s="17" t="s">
        <v>133</v>
      </c>
      <c r="F49" s="17" t="s">
        <v>135</v>
      </c>
      <c r="G49" s="18">
        <v>3</v>
      </c>
      <c r="H49" s="18" t="s">
        <v>276</v>
      </c>
    </row>
    <row r="50" spans="1:8" ht="54.75">
      <c r="A50" s="177"/>
      <c r="B50" s="39" t="s">
        <v>137</v>
      </c>
      <c r="C50" s="18" t="s">
        <v>356</v>
      </c>
      <c r="D50" s="30" t="s">
        <v>357</v>
      </c>
      <c r="E50" s="17" t="s">
        <v>138</v>
      </c>
      <c r="F50" s="21" t="s">
        <v>140</v>
      </c>
      <c r="G50" s="18">
        <v>13</v>
      </c>
      <c r="H50" s="18" t="s">
        <v>276</v>
      </c>
    </row>
    <row r="51" spans="1:8">
      <c r="A51" s="24"/>
      <c r="B51" s="25"/>
      <c r="C51" s="25"/>
      <c r="D51" s="25"/>
      <c r="E51" s="25"/>
      <c r="F51" s="26" t="s">
        <v>358</v>
      </c>
      <c r="G51" s="26">
        <f>G47+G48+G49+G50</f>
        <v>24</v>
      </c>
      <c r="H51" s="27"/>
    </row>
    <row r="53" spans="1:8">
      <c r="A53" s="23" t="s">
        <v>311</v>
      </c>
      <c r="B53" s="23" t="s">
        <v>312</v>
      </c>
      <c r="C53" s="23" t="s">
        <v>313</v>
      </c>
      <c r="D53" s="23" t="s">
        <v>314</v>
      </c>
      <c r="E53" s="23" t="s">
        <v>1</v>
      </c>
      <c r="F53" s="23" t="s">
        <v>270</v>
      </c>
      <c r="G53" s="23" t="s">
        <v>272</v>
      </c>
      <c r="H53" s="23" t="s">
        <v>315</v>
      </c>
    </row>
    <row r="54" spans="1:8" ht="41.25">
      <c r="A54" s="178" t="s">
        <v>359</v>
      </c>
      <c r="B54" s="175" t="s">
        <v>142</v>
      </c>
      <c r="C54" s="29" t="s">
        <v>360</v>
      </c>
      <c r="D54" s="18" t="s">
        <v>361</v>
      </c>
      <c r="E54" s="2" t="s">
        <v>143</v>
      </c>
      <c r="F54" s="21" t="s">
        <v>145</v>
      </c>
      <c r="G54" s="18">
        <v>5</v>
      </c>
      <c r="H54" s="18" t="s">
        <v>278</v>
      </c>
    </row>
    <row r="55" spans="1:8" ht="41.25">
      <c r="A55" s="179"/>
      <c r="B55" s="176"/>
      <c r="C55" s="18" t="s">
        <v>361</v>
      </c>
      <c r="D55" s="18" t="s">
        <v>362</v>
      </c>
      <c r="E55" s="2" t="s">
        <v>147</v>
      </c>
      <c r="F55" s="21" t="s">
        <v>149</v>
      </c>
      <c r="G55" s="8">
        <v>8</v>
      </c>
      <c r="H55" s="8" t="s">
        <v>276</v>
      </c>
    </row>
    <row r="56" spans="1:8" ht="41.25">
      <c r="A56" s="179"/>
      <c r="B56" s="176"/>
      <c r="C56" s="18" t="s">
        <v>362</v>
      </c>
      <c r="D56" s="18" t="s">
        <v>363</v>
      </c>
      <c r="E56" s="2" t="s">
        <v>151</v>
      </c>
      <c r="F56" s="21" t="s">
        <v>153</v>
      </c>
      <c r="G56" s="18">
        <v>5</v>
      </c>
      <c r="H56" s="18" t="s">
        <v>278</v>
      </c>
    </row>
    <row r="57" spans="1:8" ht="41.25">
      <c r="A57" s="179"/>
      <c r="B57" s="176"/>
      <c r="C57" s="18" t="s">
        <v>363</v>
      </c>
      <c r="D57" s="52" t="s">
        <v>364</v>
      </c>
      <c r="E57" s="2" t="s">
        <v>159</v>
      </c>
      <c r="F57" s="21" t="s">
        <v>161</v>
      </c>
      <c r="G57" s="19">
        <v>5</v>
      </c>
      <c r="H57" s="19" t="s">
        <v>276</v>
      </c>
    </row>
    <row r="58" spans="1:8">
      <c r="A58" s="49"/>
      <c r="B58" s="46"/>
      <c r="C58" s="46"/>
      <c r="D58" s="46"/>
      <c r="E58" s="46"/>
      <c r="F58" s="50" t="s">
        <v>365</v>
      </c>
      <c r="G58" s="50">
        <f>G54+G55+G56+G57</f>
        <v>23</v>
      </c>
      <c r="H58" s="51"/>
    </row>
    <row r="60" spans="1:8">
      <c r="A60" s="23" t="s">
        <v>311</v>
      </c>
      <c r="B60" s="23" t="s">
        <v>312</v>
      </c>
      <c r="C60" s="23" t="s">
        <v>313</v>
      </c>
      <c r="D60" s="23" t="s">
        <v>314</v>
      </c>
      <c r="E60" s="23" t="s">
        <v>1</v>
      </c>
      <c r="F60" s="23" t="s">
        <v>270</v>
      </c>
      <c r="G60" s="23" t="s">
        <v>272</v>
      </c>
      <c r="H60" s="23" t="s">
        <v>315</v>
      </c>
    </row>
    <row r="61" spans="1:8" ht="41.25">
      <c r="A61" s="178" t="s">
        <v>366</v>
      </c>
      <c r="B61" s="47" t="s">
        <v>142</v>
      </c>
      <c r="C61" s="30" t="s">
        <v>367</v>
      </c>
      <c r="D61" s="18" t="s">
        <v>368</v>
      </c>
      <c r="E61" s="2" t="s">
        <v>155</v>
      </c>
      <c r="F61" s="21" t="s">
        <v>157</v>
      </c>
      <c r="G61" s="18">
        <v>8</v>
      </c>
      <c r="H61" s="18" t="s">
        <v>278</v>
      </c>
    </row>
    <row r="62" spans="1:8" ht="54.75">
      <c r="A62" s="179"/>
      <c r="B62" s="175" t="s">
        <v>163</v>
      </c>
      <c r="C62" s="18" t="s">
        <v>368</v>
      </c>
      <c r="D62" s="18" t="s">
        <v>369</v>
      </c>
      <c r="E62" s="2" t="s">
        <v>164</v>
      </c>
      <c r="F62" s="21" t="s">
        <v>166</v>
      </c>
      <c r="G62" s="18">
        <v>5</v>
      </c>
      <c r="H62" s="18" t="s">
        <v>276</v>
      </c>
    </row>
    <row r="63" spans="1:8" ht="41.25">
      <c r="A63" s="179"/>
      <c r="B63" s="176"/>
      <c r="C63" s="18" t="s">
        <v>369</v>
      </c>
      <c r="D63" s="18" t="s">
        <v>370</v>
      </c>
      <c r="E63" s="2" t="s">
        <v>168</v>
      </c>
      <c r="F63" s="21" t="s">
        <v>170</v>
      </c>
      <c r="G63" s="18">
        <v>3</v>
      </c>
      <c r="H63" s="18" t="s">
        <v>278</v>
      </c>
    </row>
    <row r="64" spans="1:8" ht="41.25">
      <c r="A64" s="180"/>
      <c r="B64" s="176"/>
      <c r="C64" s="18" t="s">
        <v>370</v>
      </c>
      <c r="D64" s="30" t="s">
        <v>371</v>
      </c>
      <c r="E64" s="2" t="s">
        <v>172</v>
      </c>
      <c r="F64" s="21" t="s">
        <v>174</v>
      </c>
      <c r="G64" s="18">
        <v>5</v>
      </c>
      <c r="H64" s="18" t="s">
        <v>278</v>
      </c>
    </row>
    <row r="65" spans="1:8">
      <c r="A65" s="49"/>
      <c r="B65" s="46"/>
      <c r="C65" s="46"/>
      <c r="D65" s="46"/>
      <c r="E65" s="46"/>
      <c r="F65" s="50" t="s">
        <v>372</v>
      </c>
      <c r="G65" s="50">
        <f>G62+G63+G64+G61</f>
        <v>21</v>
      </c>
      <c r="H65" s="51"/>
    </row>
    <row r="67" spans="1:8">
      <c r="A67" s="23" t="s">
        <v>311</v>
      </c>
      <c r="B67" s="23" t="s">
        <v>312</v>
      </c>
      <c r="C67" s="23" t="s">
        <v>313</v>
      </c>
      <c r="D67" s="23" t="s">
        <v>314</v>
      </c>
      <c r="E67" s="23" t="s">
        <v>1</v>
      </c>
      <c r="F67" s="23" t="s">
        <v>270</v>
      </c>
      <c r="G67" s="23" t="s">
        <v>272</v>
      </c>
      <c r="H67" s="23" t="s">
        <v>315</v>
      </c>
    </row>
    <row r="68" spans="1:8" ht="41.25">
      <c r="A68" s="178" t="s">
        <v>373</v>
      </c>
      <c r="B68" s="176" t="s">
        <v>374</v>
      </c>
      <c r="C68" s="30" t="s">
        <v>375</v>
      </c>
      <c r="D68" s="18" t="s">
        <v>376</v>
      </c>
      <c r="E68" s="17" t="s">
        <v>177</v>
      </c>
      <c r="F68" s="17" t="s">
        <v>179</v>
      </c>
      <c r="G68" s="18">
        <v>5</v>
      </c>
      <c r="H68" s="18" t="s">
        <v>276</v>
      </c>
    </row>
    <row r="69" spans="1:8" ht="54.75">
      <c r="A69" s="179"/>
      <c r="B69" s="176"/>
      <c r="C69" s="18" t="s">
        <v>376</v>
      </c>
      <c r="D69" s="18" t="s">
        <v>377</v>
      </c>
      <c r="E69" s="17" t="s">
        <v>181</v>
      </c>
      <c r="F69" s="17" t="s">
        <v>183</v>
      </c>
      <c r="G69" s="18">
        <v>5</v>
      </c>
      <c r="H69" s="18" t="s">
        <v>276</v>
      </c>
    </row>
    <row r="70" spans="1:8" ht="41.25">
      <c r="A70" s="179"/>
      <c r="B70" s="176"/>
      <c r="C70" s="18" t="s">
        <v>377</v>
      </c>
      <c r="D70" s="18" t="s">
        <v>378</v>
      </c>
      <c r="E70" s="38" t="s">
        <v>185</v>
      </c>
      <c r="F70" s="38" t="s">
        <v>187</v>
      </c>
      <c r="G70" s="19">
        <v>3</v>
      </c>
      <c r="H70" s="19" t="s">
        <v>276</v>
      </c>
    </row>
    <row r="71" spans="1:8" ht="54.75">
      <c r="A71" s="179"/>
      <c r="B71" s="39" t="s">
        <v>189</v>
      </c>
      <c r="C71" s="18" t="s">
        <v>378</v>
      </c>
      <c r="D71" s="18" t="s">
        <v>379</v>
      </c>
      <c r="E71" s="2" t="s">
        <v>190</v>
      </c>
      <c r="F71" s="17" t="s">
        <v>192</v>
      </c>
      <c r="G71" s="18">
        <v>5</v>
      </c>
      <c r="H71" s="18" t="s">
        <v>278</v>
      </c>
    </row>
    <row r="72" spans="1:8" ht="54.75">
      <c r="A72" s="180"/>
      <c r="B72" s="45" t="s">
        <v>194</v>
      </c>
      <c r="C72" s="18" t="s">
        <v>379</v>
      </c>
      <c r="D72" s="30" t="s">
        <v>379</v>
      </c>
      <c r="E72" s="2" t="s">
        <v>195</v>
      </c>
      <c r="F72" s="21" t="s">
        <v>197</v>
      </c>
      <c r="G72" s="18">
        <v>2</v>
      </c>
      <c r="H72" s="18" t="s">
        <v>278</v>
      </c>
    </row>
    <row r="73" spans="1:8">
      <c r="A73" s="49"/>
      <c r="B73" s="46"/>
      <c r="C73" s="46"/>
      <c r="D73" s="46"/>
      <c r="E73" s="46"/>
      <c r="F73" s="50" t="s">
        <v>380</v>
      </c>
      <c r="G73" s="50">
        <f>G68+G69+G70+G71+G72</f>
        <v>20</v>
      </c>
      <c r="H73" s="51"/>
    </row>
    <row r="75" spans="1:8">
      <c r="A75" s="23" t="s">
        <v>311</v>
      </c>
      <c r="B75" s="23" t="s">
        <v>312</v>
      </c>
      <c r="C75" s="23" t="s">
        <v>313</v>
      </c>
      <c r="D75" s="23" t="s">
        <v>314</v>
      </c>
      <c r="E75" s="23" t="s">
        <v>1</v>
      </c>
      <c r="F75" s="23" t="s">
        <v>270</v>
      </c>
      <c r="G75" s="23" t="s">
        <v>272</v>
      </c>
      <c r="H75" s="23" t="s">
        <v>315</v>
      </c>
    </row>
    <row r="76" spans="1:8" ht="41.25">
      <c r="A76" s="178" t="s">
        <v>381</v>
      </c>
      <c r="B76" s="45" t="s">
        <v>199</v>
      </c>
      <c r="C76" s="29" t="s">
        <v>382</v>
      </c>
      <c r="D76" s="19" t="s">
        <v>383</v>
      </c>
      <c r="E76" s="38" t="s">
        <v>200</v>
      </c>
      <c r="F76" s="38" t="s">
        <v>202</v>
      </c>
      <c r="G76" s="19">
        <v>5</v>
      </c>
      <c r="H76" s="19" t="s">
        <v>278</v>
      </c>
    </row>
    <row r="77" spans="1:8" ht="41.25">
      <c r="A77" s="179"/>
      <c r="B77" s="183" t="s">
        <v>204</v>
      </c>
      <c r="C77" s="19" t="s">
        <v>383</v>
      </c>
      <c r="D77" s="19" t="s">
        <v>383</v>
      </c>
      <c r="E77" s="2" t="s">
        <v>205</v>
      </c>
      <c r="F77" s="17" t="s">
        <v>207</v>
      </c>
      <c r="G77" s="18">
        <v>1</v>
      </c>
      <c r="H77" s="18" t="s">
        <v>278</v>
      </c>
    </row>
    <row r="78" spans="1:8" ht="54.75">
      <c r="A78" s="179"/>
      <c r="B78" s="184"/>
      <c r="C78" s="19" t="s">
        <v>383</v>
      </c>
      <c r="D78" s="19" t="s">
        <v>383</v>
      </c>
      <c r="E78" s="2" t="s">
        <v>209</v>
      </c>
      <c r="F78" s="17" t="s">
        <v>211</v>
      </c>
      <c r="G78" s="18">
        <v>1</v>
      </c>
      <c r="H78" s="18" t="s">
        <v>278</v>
      </c>
    </row>
    <row r="79" spans="1:8" ht="41.25">
      <c r="A79" s="179"/>
      <c r="B79" s="183" t="s">
        <v>213</v>
      </c>
      <c r="C79" s="19" t="s">
        <v>383</v>
      </c>
      <c r="D79" s="18" t="s">
        <v>384</v>
      </c>
      <c r="E79" s="17" t="s">
        <v>214</v>
      </c>
      <c r="F79" s="17" t="s">
        <v>216</v>
      </c>
      <c r="G79" s="18">
        <v>3</v>
      </c>
      <c r="H79" s="18" t="s">
        <v>276</v>
      </c>
    </row>
    <row r="80" spans="1:8" ht="54.75">
      <c r="A80" s="179"/>
      <c r="B80" s="184"/>
      <c r="C80" s="18" t="s">
        <v>384</v>
      </c>
      <c r="D80" s="18" t="s">
        <v>384</v>
      </c>
      <c r="E80" s="17" t="s">
        <v>218</v>
      </c>
      <c r="F80" s="17" t="s">
        <v>220</v>
      </c>
      <c r="G80" s="18">
        <v>3</v>
      </c>
      <c r="H80" s="18" t="s">
        <v>276</v>
      </c>
    </row>
    <row r="81" spans="1:8" ht="54.75">
      <c r="A81" s="179"/>
      <c r="B81" s="185"/>
      <c r="C81" s="18" t="s">
        <v>385</v>
      </c>
      <c r="D81" s="18" t="s">
        <v>385</v>
      </c>
      <c r="E81" s="17" t="s">
        <v>222</v>
      </c>
      <c r="F81" s="17" t="s">
        <v>224</v>
      </c>
      <c r="G81" s="18">
        <v>2</v>
      </c>
      <c r="H81" s="18" t="s">
        <v>278</v>
      </c>
    </row>
    <row r="82" spans="1:8" ht="54.75">
      <c r="A82" s="180"/>
      <c r="B82" s="54" t="s">
        <v>386</v>
      </c>
      <c r="C82" s="18" t="s">
        <v>385</v>
      </c>
      <c r="D82" s="52" t="s">
        <v>387</v>
      </c>
      <c r="E82" s="38" t="s">
        <v>226</v>
      </c>
      <c r="F82" s="38" t="s">
        <v>228</v>
      </c>
      <c r="G82" s="19">
        <v>3</v>
      </c>
      <c r="H82" s="19" t="s">
        <v>276</v>
      </c>
    </row>
    <row r="83" spans="1:8">
      <c r="A83" s="49"/>
      <c r="B83" s="46"/>
      <c r="C83" s="46"/>
      <c r="D83" s="46"/>
      <c r="E83" s="46"/>
      <c r="F83" s="50" t="s">
        <v>388</v>
      </c>
      <c r="G83" s="50">
        <f>G76+G77+G78+G79+G80+G81+G82</f>
        <v>18</v>
      </c>
      <c r="H83" s="51"/>
    </row>
    <row r="85" spans="1:8">
      <c r="A85" s="23" t="s">
        <v>311</v>
      </c>
      <c r="B85" s="23" t="s">
        <v>312</v>
      </c>
      <c r="C85" s="23" t="s">
        <v>313</v>
      </c>
      <c r="D85" s="23" t="s">
        <v>314</v>
      </c>
      <c r="E85" s="23" t="s">
        <v>1</v>
      </c>
      <c r="F85" s="23" t="s">
        <v>270</v>
      </c>
      <c r="G85" s="23" t="s">
        <v>272</v>
      </c>
      <c r="H85" s="23" t="s">
        <v>315</v>
      </c>
    </row>
    <row r="86" spans="1:8" ht="68.25">
      <c r="A86" s="178" t="s">
        <v>389</v>
      </c>
      <c r="B86" s="186" t="s">
        <v>230</v>
      </c>
      <c r="C86" s="30" t="s">
        <v>390</v>
      </c>
      <c r="D86" s="18" t="s">
        <v>391</v>
      </c>
      <c r="E86" s="2" t="s">
        <v>231</v>
      </c>
      <c r="F86" s="17" t="s">
        <v>233</v>
      </c>
      <c r="G86" s="18">
        <v>5</v>
      </c>
      <c r="H86" s="18" t="s">
        <v>276</v>
      </c>
    </row>
    <row r="87" spans="1:8" ht="54.75">
      <c r="A87" s="179"/>
      <c r="B87" s="187"/>
      <c r="C87" s="18" t="s">
        <v>391</v>
      </c>
      <c r="D87" s="18" t="s">
        <v>391</v>
      </c>
      <c r="E87" s="2" t="s">
        <v>235</v>
      </c>
      <c r="F87" s="17" t="s">
        <v>237</v>
      </c>
      <c r="G87" s="18">
        <v>2</v>
      </c>
      <c r="H87" s="18" t="s">
        <v>276</v>
      </c>
    </row>
    <row r="88" spans="1:8" ht="41.25">
      <c r="A88" s="179"/>
      <c r="B88" s="187"/>
      <c r="C88" s="18" t="s">
        <v>391</v>
      </c>
      <c r="D88" s="18" t="s">
        <v>392</v>
      </c>
      <c r="E88" s="2" t="s">
        <v>239</v>
      </c>
      <c r="F88" s="17" t="s">
        <v>393</v>
      </c>
      <c r="G88" s="18">
        <v>3</v>
      </c>
      <c r="H88" s="18" t="s">
        <v>276</v>
      </c>
    </row>
    <row r="89" spans="1:8" ht="54.75">
      <c r="A89" s="180"/>
      <c r="B89" s="110" t="s">
        <v>243</v>
      </c>
      <c r="C89" s="18" t="s">
        <v>392</v>
      </c>
      <c r="D89" s="30" t="s">
        <v>394</v>
      </c>
      <c r="E89" s="2" t="s">
        <v>244</v>
      </c>
      <c r="F89" s="17" t="s">
        <v>246</v>
      </c>
      <c r="G89" s="18">
        <v>2</v>
      </c>
      <c r="H89" s="18" t="s">
        <v>278</v>
      </c>
    </row>
    <row r="90" spans="1:8">
      <c r="A90" s="49"/>
      <c r="B90" s="46"/>
      <c r="C90" s="46"/>
      <c r="D90" s="46"/>
      <c r="E90" s="46"/>
      <c r="F90" s="50" t="s">
        <v>395</v>
      </c>
      <c r="G90" s="50">
        <f>G86+G87+G88+G89</f>
        <v>12</v>
      </c>
      <c r="H90" s="51"/>
    </row>
  </sheetData>
  <mergeCells count="26">
    <mergeCell ref="A68:A72"/>
    <mergeCell ref="A76:A82"/>
    <mergeCell ref="A86:A89"/>
    <mergeCell ref="B11:B12"/>
    <mergeCell ref="A10:A14"/>
    <mergeCell ref="A18:A23"/>
    <mergeCell ref="B18:B21"/>
    <mergeCell ref="B35:B36"/>
    <mergeCell ref="B77:B78"/>
    <mergeCell ref="B79:B81"/>
    <mergeCell ref="B86:B88"/>
    <mergeCell ref="B27:B29"/>
    <mergeCell ref="A27:A31"/>
    <mergeCell ref="B54:B57"/>
    <mergeCell ref="B68:B70"/>
    <mergeCell ref="A54:A57"/>
    <mergeCell ref="B62:B64"/>
    <mergeCell ref="A47:A50"/>
    <mergeCell ref="B3:B5"/>
    <mergeCell ref="A2:A6"/>
    <mergeCell ref="B22:B23"/>
    <mergeCell ref="B47:B49"/>
    <mergeCell ref="B37:B38"/>
    <mergeCell ref="B40:B43"/>
    <mergeCell ref="A35:A43"/>
    <mergeCell ref="A61:A6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C3DB-DA58-4D7C-B0EA-D4B6DA683A6A}">
  <dimension ref="A1:H90"/>
  <sheetViews>
    <sheetView topLeftCell="A53" zoomScale="85" zoomScaleNormal="85" workbookViewId="0">
      <selection activeCell="F58" sqref="F58"/>
    </sheetView>
  </sheetViews>
  <sheetFormatPr defaultColWidth="9.140625" defaultRowHeight="15"/>
  <cols>
    <col min="1" max="1" width="9.140625" style="5" bestFit="1" customWidth="1"/>
    <col min="2" max="2" width="23.42578125" style="5" customWidth="1"/>
    <col min="3" max="4" width="16.7109375" style="5" customWidth="1"/>
    <col min="5" max="5" width="14" style="5" customWidth="1"/>
    <col min="6" max="6" width="112" style="5" customWidth="1"/>
    <col min="7" max="8" width="17.85546875" style="10" customWidth="1"/>
    <col min="9" max="16384" width="9.140625" style="5"/>
  </cols>
  <sheetData>
    <row r="1" spans="1:8">
      <c r="A1" s="97" t="s">
        <v>311</v>
      </c>
      <c r="B1" s="97" t="s">
        <v>312</v>
      </c>
      <c r="C1" s="97" t="s">
        <v>313</v>
      </c>
      <c r="D1" s="97" t="s">
        <v>314</v>
      </c>
      <c r="E1" s="97" t="s">
        <v>1</v>
      </c>
      <c r="F1" s="97" t="s">
        <v>270</v>
      </c>
      <c r="G1" s="97" t="s">
        <v>272</v>
      </c>
      <c r="H1" s="97" t="s">
        <v>315</v>
      </c>
    </row>
    <row r="2" spans="1:8" ht="41.25">
      <c r="A2" s="178" t="s">
        <v>316</v>
      </c>
      <c r="B2" s="34" t="s">
        <v>29</v>
      </c>
      <c r="C2" s="29" t="s">
        <v>317</v>
      </c>
      <c r="D2" s="18" t="s">
        <v>317</v>
      </c>
      <c r="E2" s="17" t="s">
        <v>30</v>
      </c>
      <c r="F2" s="2" t="s">
        <v>32</v>
      </c>
      <c r="G2" s="18">
        <v>3</v>
      </c>
      <c r="H2" s="18" t="s">
        <v>275</v>
      </c>
    </row>
    <row r="3" spans="1:8" ht="54.75">
      <c r="A3" s="179"/>
      <c r="B3" s="34" t="s">
        <v>34</v>
      </c>
      <c r="C3" s="18" t="s">
        <v>317</v>
      </c>
      <c r="D3" s="18" t="s">
        <v>318</v>
      </c>
      <c r="E3" s="17" t="s">
        <v>39</v>
      </c>
      <c r="F3" s="17" t="s">
        <v>41</v>
      </c>
      <c r="G3" s="18">
        <v>5</v>
      </c>
      <c r="H3" s="18" t="s">
        <v>275</v>
      </c>
    </row>
    <row r="4" spans="1:8" ht="41.25">
      <c r="A4" s="179"/>
      <c r="B4" s="34" t="s">
        <v>69</v>
      </c>
      <c r="C4" s="18" t="s">
        <v>318</v>
      </c>
      <c r="D4" s="22" t="s">
        <v>320</v>
      </c>
      <c r="E4" s="17" t="s">
        <v>74</v>
      </c>
      <c r="F4" s="17" t="s">
        <v>76</v>
      </c>
      <c r="G4" s="18">
        <v>5</v>
      </c>
      <c r="H4" s="18" t="s">
        <v>275</v>
      </c>
    </row>
    <row r="5" spans="1:8" ht="41.25">
      <c r="A5" s="179"/>
      <c r="B5" s="47" t="s">
        <v>374</v>
      </c>
      <c r="C5" s="22" t="s">
        <v>320</v>
      </c>
      <c r="D5" s="48" t="s">
        <v>321</v>
      </c>
      <c r="E5" s="17" t="s">
        <v>177</v>
      </c>
      <c r="F5" s="17" t="s">
        <v>179</v>
      </c>
      <c r="G5" s="18">
        <v>5</v>
      </c>
      <c r="H5" s="18" t="s">
        <v>275</v>
      </c>
    </row>
    <row r="6" spans="1:8" ht="54.75">
      <c r="A6" s="179"/>
      <c r="B6" s="107" t="s">
        <v>5</v>
      </c>
      <c r="C6" s="48" t="s">
        <v>321</v>
      </c>
      <c r="D6" s="29" t="s">
        <v>322</v>
      </c>
      <c r="E6" s="17" t="s">
        <v>6</v>
      </c>
      <c r="F6" s="17" t="s">
        <v>319</v>
      </c>
      <c r="G6" s="18">
        <v>5</v>
      </c>
      <c r="H6" s="18" t="s">
        <v>275</v>
      </c>
    </row>
    <row r="7" spans="1:8">
      <c r="A7" s="46"/>
      <c r="B7" s="46"/>
      <c r="C7" s="46"/>
      <c r="D7" s="46"/>
      <c r="E7" s="25"/>
      <c r="F7" s="26" t="s">
        <v>324</v>
      </c>
      <c r="G7" s="26">
        <f>G2+G3+G4+G5+G6</f>
        <v>23</v>
      </c>
      <c r="H7" s="27"/>
    </row>
    <row r="9" spans="1:8">
      <c r="A9" s="23" t="s">
        <v>311</v>
      </c>
      <c r="B9" s="23" t="s">
        <v>312</v>
      </c>
      <c r="C9" s="23" t="s">
        <v>313</v>
      </c>
      <c r="D9" s="23" t="s">
        <v>314</v>
      </c>
      <c r="E9" s="23" t="s">
        <v>1</v>
      </c>
      <c r="F9" s="23" t="s">
        <v>270</v>
      </c>
      <c r="G9" s="23" t="s">
        <v>272</v>
      </c>
      <c r="H9" s="23" t="s">
        <v>315</v>
      </c>
    </row>
    <row r="10" spans="1:8" ht="54.75">
      <c r="A10" s="177" t="s">
        <v>325</v>
      </c>
      <c r="B10" s="162" t="s">
        <v>11</v>
      </c>
      <c r="C10" s="29" t="s">
        <v>326</v>
      </c>
      <c r="D10" s="48" t="s">
        <v>326</v>
      </c>
      <c r="E10" s="17" t="s">
        <v>12</v>
      </c>
      <c r="F10" s="17" t="s">
        <v>14</v>
      </c>
      <c r="G10" s="18">
        <v>2</v>
      </c>
      <c r="H10" s="18" t="s">
        <v>275</v>
      </c>
    </row>
    <row r="11" spans="1:8" ht="41.25">
      <c r="A11" s="177"/>
      <c r="B11" s="162"/>
      <c r="C11" s="48" t="s">
        <v>326</v>
      </c>
      <c r="D11" s="18" t="s">
        <v>327</v>
      </c>
      <c r="E11" s="17" t="s">
        <v>16</v>
      </c>
      <c r="F11" s="17" t="s">
        <v>18</v>
      </c>
      <c r="G11" s="18">
        <v>5</v>
      </c>
      <c r="H11" s="18" t="s">
        <v>275</v>
      </c>
    </row>
    <row r="12" spans="1:8" ht="54.75">
      <c r="A12" s="177"/>
      <c r="B12" s="172" t="s">
        <v>374</v>
      </c>
      <c r="C12" s="18" t="s">
        <v>327</v>
      </c>
      <c r="D12" s="48" t="s">
        <v>328</v>
      </c>
      <c r="E12" s="17" t="s">
        <v>181</v>
      </c>
      <c r="F12" s="17" t="s">
        <v>183</v>
      </c>
      <c r="G12" s="18">
        <v>5</v>
      </c>
      <c r="H12" s="18" t="s">
        <v>275</v>
      </c>
    </row>
    <row r="13" spans="1:8" ht="41.25">
      <c r="A13" s="177"/>
      <c r="B13" s="172"/>
      <c r="C13" s="48" t="s">
        <v>328</v>
      </c>
      <c r="D13" s="48" t="s">
        <v>328</v>
      </c>
      <c r="E13" s="17" t="s">
        <v>185</v>
      </c>
      <c r="F13" s="17" t="s">
        <v>187</v>
      </c>
      <c r="G13" s="18">
        <v>3</v>
      </c>
      <c r="H13" s="18" t="s">
        <v>275</v>
      </c>
    </row>
    <row r="14" spans="1:8" ht="41.25">
      <c r="A14" s="177"/>
      <c r="B14" s="39" t="s">
        <v>142</v>
      </c>
      <c r="C14" s="48" t="s">
        <v>328</v>
      </c>
      <c r="D14" s="30" t="s">
        <v>329</v>
      </c>
      <c r="E14" s="17" t="s">
        <v>159</v>
      </c>
      <c r="F14" s="21" t="s">
        <v>161</v>
      </c>
      <c r="G14" s="18">
        <v>5</v>
      </c>
      <c r="H14" s="18" t="s">
        <v>275</v>
      </c>
    </row>
    <row r="15" spans="1:8">
      <c r="A15" s="24"/>
      <c r="B15" s="25"/>
      <c r="C15" s="25"/>
      <c r="D15" s="25"/>
      <c r="E15" s="25"/>
      <c r="F15" s="26" t="s">
        <v>330</v>
      </c>
      <c r="G15" s="26">
        <f>G10+G11+G12+G13+G14</f>
        <v>20</v>
      </c>
      <c r="H15" s="27"/>
    </row>
    <row r="17" spans="1:8">
      <c r="A17" s="97" t="s">
        <v>311</v>
      </c>
      <c r="B17" s="97"/>
      <c r="C17" s="97" t="s">
        <v>313</v>
      </c>
      <c r="D17" s="97" t="s">
        <v>314</v>
      </c>
      <c r="E17" s="97" t="s">
        <v>1</v>
      </c>
      <c r="F17" s="97" t="s">
        <v>270</v>
      </c>
      <c r="G17" s="97" t="s">
        <v>272</v>
      </c>
      <c r="H17" s="97" t="s">
        <v>315</v>
      </c>
    </row>
    <row r="18" spans="1:8" ht="54.75">
      <c r="A18" s="177" t="s">
        <v>331</v>
      </c>
      <c r="B18" s="129" t="s">
        <v>386</v>
      </c>
      <c r="C18" s="30" t="s">
        <v>332</v>
      </c>
      <c r="D18" s="18" t="s">
        <v>332</v>
      </c>
      <c r="E18" s="17" t="s">
        <v>226</v>
      </c>
      <c r="F18" s="17" t="s">
        <v>228</v>
      </c>
      <c r="G18" s="18">
        <v>3</v>
      </c>
      <c r="H18" s="18" t="s">
        <v>275</v>
      </c>
    </row>
    <row r="19" spans="1:8" ht="54.75">
      <c r="A19" s="177"/>
      <c r="B19" s="128" t="s">
        <v>349</v>
      </c>
      <c r="C19" s="18" t="s">
        <v>332</v>
      </c>
      <c r="D19" s="18" t="s">
        <v>396</v>
      </c>
      <c r="E19" s="17" t="s">
        <v>249</v>
      </c>
      <c r="F19" s="17" t="s">
        <v>251</v>
      </c>
      <c r="G19" s="18">
        <v>5</v>
      </c>
      <c r="H19" s="18" t="s">
        <v>275</v>
      </c>
    </row>
    <row r="20" spans="1:8" ht="41.25">
      <c r="A20" s="177"/>
      <c r="B20" s="164" t="s">
        <v>78</v>
      </c>
      <c r="C20" s="18" t="s">
        <v>396</v>
      </c>
      <c r="D20" s="18" t="s">
        <v>333</v>
      </c>
      <c r="E20" s="17" t="s">
        <v>79</v>
      </c>
      <c r="F20" s="17" t="s">
        <v>81</v>
      </c>
      <c r="G20" s="18">
        <v>3</v>
      </c>
      <c r="H20" s="18" t="s">
        <v>275</v>
      </c>
    </row>
    <row r="21" spans="1:8" ht="54.75">
      <c r="A21" s="177"/>
      <c r="B21" s="164"/>
      <c r="C21" s="18" t="s">
        <v>333</v>
      </c>
      <c r="D21" s="18" t="s">
        <v>334</v>
      </c>
      <c r="E21" s="17" t="s">
        <v>83</v>
      </c>
      <c r="F21" s="17" t="s">
        <v>85</v>
      </c>
      <c r="G21" s="18">
        <v>5</v>
      </c>
      <c r="H21" s="18" t="s">
        <v>275</v>
      </c>
    </row>
    <row r="22" spans="1:8" ht="41.25">
      <c r="A22" s="177"/>
      <c r="B22" s="164"/>
      <c r="C22" s="18" t="s">
        <v>334</v>
      </c>
      <c r="D22" s="18" t="s">
        <v>334</v>
      </c>
      <c r="E22" s="17" t="s">
        <v>87</v>
      </c>
      <c r="F22" s="17" t="s">
        <v>89</v>
      </c>
      <c r="G22" s="18">
        <v>3</v>
      </c>
      <c r="H22" s="18" t="s">
        <v>275</v>
      </c>
    </row>
    <row r="23" spans="1:8" ht="41.25">
      <c r="A23" s="177"/>
      <c r="B23" s="34" t="s">
        <v>43</v>
      </c>
      <c r="C23" s="18" t="s">
        <v>334</v>
      </c>
      <c r="D23" s="29" t="s">
        <v>335</v>
      </c>
      <c r="E23" s="17" t="s">
        <v>44</v>
      </c>
      <c r="F23" s="17" t="s">
        <v>282</v>
      </c>
      <c r="G23" s="18">
        <v>2</v>
      </c>
      <c r="H23" s="18" t="s">
        <v>275</v>
      </c>
    </row>
    <row r="24" spans="1:8">
      <c r="A24" s="24"/>
      <c r="B24" s="25"/>
      <c r="C24" s="25"/>
      <c r="D24" s="25"/>
      <c r="E24" s="25"/>
      <c r="F24" s="26" t="s">
        <v>336</v>
      </c>
      <c r="G24" s="26">
        <f>G18+G19+G20+G21+G22+G23</f>
        <v>21</v>
      </c>
      <c r="H24" s="27"/>
    </row>
    <row r="26" spans="1:8">
      <c r="A26" s="97" t="s">
        <v>311</v>
      </c>
      <c r="B26" s="97" t="s">
        <v>312</v>
      </c>
      <c r="C26" s="97" t="s">
        <v>313</v>
      </c>
      <c r="D26" s="97" t="s">
        <v>314</v>
      </c>
      <c r="E26" s="97" t="s">
        <v>1</v>
      </c>
      <c r="F26" s="97" t="s">
        <v>270</v>
      </c>
      <c r="G26" s="97" t="s">
        <v>272</v>
      </c>
      <c r="H26" s="97" t="s">
        <v>315</v>
      </c>
    </row>
    <row r="27" spans="1:8" ht="54.75">
      <c r="A27" s="177" t="s">
        <v>337</v>
      </c>
      <c r="B27" s="34" t="s">
        <v>34</v>
      </c>
      <c r="C27" s="29" t="s">
        <v>338</v>
      </c>
      <c r="D27" s="18" t="s">
        <v>339</v>
      </c>
      <c r="E27" s="17" t="s">
        <v>35</v>
      </c>
      <c r="F27" s="17" t="s">
        <v>37</v>
      </c>
      <c r="G27" s="18">
        <v>5</v>
      </c>
      <c r="H27" s="18" t="s">
        <v>277</v>
      </c>
    </row>
    <row r="28" spans="1:8" ht="41.25">
      <c r="A28" s="177"/>
      <c r="B28" s="39" t="s">
        <v>199</v>
      </c>
      <c r="C28" s="18" t="s">
        <v>339</v>
      </c>
      <c r="D28" s="18" t="s">
        <v>340</v>
      </c>
      <c r="E28" s="17" t="s">
        <v>200</v>
      </c>
      <c r="F28" s="17" t="s">
        <v>202</v>
      </c>
      <c r="G28" s="18">
        <v>5</v>
      </c>
      <c r="H28" s="18" t="s">
        <v>277</v>
      </c>
    </row>
    <row r="29" spans="1:8" ht="41.25">
      <c r="A29" s="177"/>
      <c r="B29" s="107" t="s">
        <v>24</v>
      </c>
      <c r="C29" s="18" t="s">
        <v>340</v>
      </c>
      <c r="D29" s="18" t="s">
        <v>340</v>
      </c>
      <c r="E29" s="17" t="s">
        <v>25</v>
      </c>
      <c r="F29" s="17" t="s">
        <v>323</v>
      </c>
      <c r="G29" s="18">
        <v>2</v>
      </c>
      <c r="H29" s="18" t="s">
        <v>277</v>
      </c>
    </row>
    <row r="30" spans="1:8" ht="54.75">
      <c r="A30" s="177"/>
      <c r="B30" s="107" t="s">
        <v>11</v>
      </c>
      <c r="C30" s="18" t="s">
        <v>340</v>
      </c>
      <c r="D30" s="22" t="s">
        <v>341</v>
      </c>
      <c r="E30" s="17" t="s">
        <v>20</v>
      </c>
      <c r="F30" s="17" t="s">
        <v>22</v>
      </c>
      <c r="G30" s="18">
        <v>5</v>
      </c>
      <c r="H30" s="18" t="s">
        <v>277</v>
      </c>
    </row>
    <row r="31" spans="1:8" ht="41.25">
      <c r="A31" s="177"/>
      <c r="B31" s="44" t="s">
        <v>347</v>
      </c>
      <c r="C31" s="22" t="s">
        <v>341</v>
      </c>
      <c r="D31" s="22" t="s">
        <v>341</v>
      </c>
      <c r="E31" s="17" t="s">
        <v>120</v>
      </c>
      <c r="F31" s="21" t="s">
        <v>122</v>
      </c>
      <c r="G31" s="18">
        <v>2</v>
      </c>
      <c r="H31" s="18" t="s">
        <v>277</v>
      </c>
    </row>
    <row r="32" spans="1:8" ht="54.75">
      <c r="A32" s="177"/>
      <c r="B32" s="130" t="s">
        <v>110</v>
      </c>
      <c r="C32" s="22" t="s">
        <v>341</v>
      </c>
      <c r="D32" s="29" t="s">
        <v>342</v>
      </c>
      <c r="E32" s="17" t="s">
        <v>115</v>
      </c>
      <c r="F32" s="17" t="s">
        <v>117</v>
      </c>
      <c r="G32" s="18">
        <v>2</v>
      </c>
      <c r="H32" s="18" t="s">
        <v>277</v>
      </c>
    </row>
    <row r="33" spans="1:8">
      <c r="A33" s="24"/>
      <c r="B33" s="25"/>
      <c r="C33" s="25"/>
      <c r="D33" s="25"/>
      <c r="E33" s="25"/>
      <c r="F33" s="26" t="s">
        <v>343</v>
      </c>
      <c r="G33" s="26">
        <f>G27+G28+G29+G30+G31+G32</f>
        <v>21</v>
      </c>
      <c r="H33" s="27"/>
    </row>
    <row r="35" spans="1:8">
      <c r="A35" s="23" t="s">
        <v>311</v>
      </c>
      <c r="B35" s="23" t="s">
        <v>312</v>
      </c>
      <c r="C35" s="23" t="s">
        <v>313</v>
      </c>
      <c r="D35" s="23" t="s">
        <v>314</v>
      </c>
      <c r="E35" s="23" t="s">
        <v>1</v>
      </c>
      <c r="F35" s="23" t="s">
        <v>270</v>
      </c>
      <c r="G35" s="23" t="s">
        <v>272</v>
      </c>
      <c r="H35" s="23" t="s">
        <v>315</v>
      </c>
    </row>
    <row r="36" spans="1:8" ht="54.75">
      <c r="A36" s="177" t="s">
        <v>344</v>
      </c>
      <c r="B36" s="108" t="s">
        <v>101</v>
      </c>
      <c r="C36" s="29" t="s">
        <v>345</v>
      </c>
      <c r="D36" s="18" t="s">
        <v>345</v>
      </c>
      <c r="E36" s="17" t="s">
        <v>102</v>
      </c>
      <c r="F36" s="17" t="s">
        <v>104</v>
      </c>
      <c r="G36" s="18">
        <v>2</v>
      </c>
      <c r="H36" s="18" t="s">
        <v>277</v>
      </c>
    </row>
    <row r="37" spans="1:8" ht="41.25">
      <c r="A37" s="177"/>
      <c r="B37" s="175" t="s">
        <v>124</v>
      </c>
      <c r="C37" s="18" t="s">
        <v>345</v>
      </c>
      <c r="D37" s="18" t="s">
        <v>346</v>
      </c>
      <c r="E37" s="17" t="s">
        <v>125</v>
      </c>
      <c r="F37" s="21" t="s">
        <v>127</v>
      </c>
      <c r="G37" s="18">
        <v>5</v>
      </c>
      <c r="H37" s="18" t="s">
        <v>277</v>
      </c>
    </row>
    <row r="38" spans="1:8" ht="41.25">
      <c r="A38" s="177"/>
      <c r="B38" s="190"/>
      <c r="C38" s="18" t="s">
        <v>346</v>
      </c>
      <c r="D38" s="18" t="s">
        <v>346</v>
      </c>
      <c r="E38" s="17" t="s">
        <v>129</v>
      </c>
      <c r="F38" s="21" t="s">
        <v>131</v>
      </c>
      <c r="G38" s="18">
        <v>3</v>
      </c>
      <c r="H38" s="18" t="s">
        <v>277</v>
      </c>
    </row>
    <row r="39" spans="1:8" ht="41.25">
      <c r="A39" s="177"/>
      <c r="B39" s="175" t="s">
        <v>142</v>
      </c>
      <c r="C39" s="18" t="s">
        <v>346</v>
      </c>
      <c r="D39" s="18" t="s">
        <v>348</v>
      </c>
      <c r="E39" s="2" t="s">
        <v>143</v>
      </c>
      <c r="F39" s="21" t="s">
        <v>145</v>
      </c>
      <c r="G39" s="18">
        <v>5</v>
      </c>
      <c r="H39" s="18" t="s">
        <v>277</v>
      </c>
    </row>
    <row r="40" spans="1:8" ht="41.25">
      <c r="A40" s="177"/>
      <c r="B40" s="190"/>
      <c r="C40" s="18" t="s">
        <v>348</v>
      </c>
      <c r="D40" s="30" t="s">
        <v>351</v>
      </c>
      <c r="E40" s="2" t="s">
        <v>147</v>
      </c>
      <c r="F40" s="21" t="s">
        <v>149</v>
      </c>
      <c r="G40" s="8">
        <v>8</v>
      </c>
      <c r="H40" s="8" t="s">
        <v>277</v>
      </c>
    </row>
    <row r="41" spans="1:8">
      <c r="A41" s="24"/>
      <c r="B41" s="25"/>
      <c r="C41" s="25"/>
      <c r="D41" s="25"/>
      <c r="E41" s="25"/>
      <c r="F41" s="26" t="s">
        <v>352</v>
      </c>
      <c r="G41" s="26">
        <f>G38+G39+G36+G37+G40</f>
        <v>23</v>
      </c>
      <c r="H41" s="27"/>
    </row>
    <row r="43" spans="1:8">
      <c r="A43" s="23" t="s">
        <v>311</v>
      </c>
      <c r="B43" s="23" t="s">
        <v>312</v>
      </c>
      <c r="C43" s="23" t="s">
        <v>313</v>
      </c>
      <c r="D43" s="23" t="s">
        <v>314</v>
      </c>
      <c r="E43" s="23" t="s">
        <v>1</v>
      </c>
      <c r="F43" s="23" t="s">
        <v>270</v>
      </c>
      <c r="G43" s="23" t="s">
        <v>272</v>
      </c>
      <c r="H43" s="23" t="s">
        <v>315</v>
      </c>
    </row>
    <row r="44" spans="1:8" ht="41.25">
      <c r="A44" s="177" t="s">
        <v>353</v>
      </c>
      <c r="B44" s="39" t="s">
        <v>142</v>
      </c>
      <c r="C44" s="29" t="s">
        <v>354</v>
      </c>
      <c r="D44" s="18" t="s">
        <v>355</v>
      </c>
      <c r="E44" s="17" t="s">
        <v>151</v>
      </c>
      <c r="F44" s="21" t="s">
        <v>153</v>
      </c>
      <c r="G44" s="18">
        <v>5</v>
      </c>
      <c r="H44" s="18" t="s">
        <v>277</v>
      </c>
    </row>
    <row r="45" spans="1:8" ht="41.25">
      <c r="A45" s="177"/>
      <c r="B45" s="39" t="s">
        <v>124</v>
      </c>
      <c r="C45" s="18" t="s">
        <v>355</v>
      </c>
      <c r="D45" s="18" t="s">
        <v>355</v>
      </c>
      <c r="E45" s="17" t="s">
        <v>133</v>
      </c>
      <c r="F45" s="17" t="s">
        <v>135</v>
      </c>
      <c r="G45" s="18">
        <v>3</v>
      </c>
      <c r="H45" s="18" t="s">
        <v>277</v>
      </c>
    </row>
    <row r="46" spans="1:8" ht="54.75">
      <c r="A46" s="177"/>
      <c r="B46" s="39" t="s">
        <v>194</v>
      </c>
      <c r="C46" s="18" t="s">
        <v>355</v>
      </c>
      <c r="D46" s="18" t="s">
        <v>355</v>
      </c>
      <c r="E46" s="17" t="s">
        <v>195</v>
      </c>
      <c r="F46" s="21" t="s">
        <v>197</v>
      </c>
      <c r="G46" s="18">
        <v>2</v>
      </c>
      <c r="H46" s="18" t="s">
        <v>277</v>
      </c>
    </row>
    <row r="47" spans="1:8" ht="54.75">
      <c r="A47" s="177"/>
      <c r="B47" s="172" t="s">
        <v>163</v>
      </c>
      <c r="C47" s="18" t="s">
        <v>355</v>
      </c>
      <c r="D47" s="18" t="s">
        <v>356</v>
      </c>
      <c r="E47" s="17" t="s">
        <v>164</v>
      </c>
      <c r="F47" s="21" t="s">
        <v>166</v>
      </c>
      <c r="G47" s="18">
        <v>5</v>
      </c>
      <c r="H47" s="18" t="s">
        <v>277</v>
      </c>
    </row>
    <row r="48" spans="1:8" ht="41.25">
      <c r="A48" s="177"/>
      <c r="B48" s="172"/>
      <c r="C48" s="18" t="s">
        <v>356</v>
      </c>
      <c r="D48" s="18" t="s">
        <v>397</v>
      </c>
      <c r="E48" s="17" t="s">
        <v>172</v>
      </c>
      <c r="F48" s="21" t="s">
        <v>174</v>
      </c>
      <c r="G48" s="18">
        <v>5</v>
      </c>
      <c r="H48" s="18" t="s">
        <v>277</v>
      </c>
    </row>
    <row r="49" spans="1:8" ht="41.25">
      <c r="A49" s="177"/>
      <c r="B49" s="108" t="s">
        <v>101</v>
      </c>
      <c r="C49" s="18" t="s">
        <v>397</v>
      </c>
      <c r="D49" s="30" t="s">
        <v>357</v>
      </c>
      <c r="E49" s="17" t="s">
        <v>106</v>
      </c>
      <c r="F49" s="17" t="s">
        <v>108</v>
      </c>
      <c r="G49" s="18">
        <v>2</v>
      </c>
      <c r="H49" s="18" t="s">
        <v>277</v>
      </c>
    </row>
    <row r="50" spans="1:8">
      <c r="A50" s="24"/>
      <c r="B50" s="25"/>
      <c r="C50" s="25"/>
      <c r="D50" s="25"/>
      <c r="E50" s="25"/>
      <c r="F50" s="26" t="s">
        <v>358</v>
      </c>
      <c r="G50" s="26">
        <f>G44+G45+G46+G47+G48+G49</f>
        <v>22</v>
      </c>
      <c r="H50" s="27"/>
    </row>
    <row r="52" spans="1:8">
      <c r="A52" s="97" t="s">
        <v>311</v>
      </c>
      <c r="B52" s="97" t="s">
        <v>312</v>
      </c>
      <c r="C52" s="97" t="s">
        <v>313</v>
      </c>
      <c r="D52" s="97" t="s">
        <v>314</v>
      </c>
      <c r="E52" s="97" t="s">
        <v>1</v>
      </c>
      <c r="F52" s="97" t="s">
        <v>270</v>
      </c>
      <c r="G52" s="97" t="s">
        <v>272</v>
      </c>
      <c r="H52" s="97" t="s">
        <v>315</v>
      </c>
    </row>
    <row r="53" spans="1:8" ht="41.25">
      <c r="A53" s="178" t="s">
        <v>359</v>
      </c>
      <c r="B53" s="183" t="s">
        <v>213</v>
      </c>
      <c r="C53" s="134" t="s">
        <v>360</v>
      </c>
      <c r="D53" s="19" t="s">
        <v>360</v>
      </c>
      <c r="E53" s="17" t="s">
        <v>214</v>
      </c>
      <c r="F53" s="17" t="s">
        <v>216</v>
      </c>
      <c r="G53" s="18">
        <v>3</v>
      </c>
      <c r="H53" s="18" t="s">
        <v>277</v>
      </c>
    </row>
    <row r="54" spans="1:8" ht="54.75">
      <c r="A54" s="179"/>
      <c r="B54" s="184"/>
      <c r="C54" s="18" t="s">
        <v>360</v>
      </c>
      <c r="D54" s="18" t="s">
        <v>360</v>
      </c>
      <c r="E54" s="113" t="s">
        <v>218</v>
      </c>
      <c r="F54" s="17" t="s">
        <v>220</v>
      </c>
      <c r="G54" s="18">
        <v>3</v>
      </c>
      <c r="H54" s="18" t="s">
        <v>277</v>
      </c>
    </row>
    <row r="55" spans="1:8" ht="54.75">
      <c r="A55" s="179"/>
      <c r="B55" s="185"/>
      <c r="C55" s="18" t="s">
        <v>360</v>
      </c>
      <c r="D55" s="18" t="s">
        <v>361</v>
      </c>
      <c r="E55" s="113" t="s">
        <v>222</v>
      </c>
      <c r="F55" s="17" t="s">
        <v>224</v>
      </c>
      <c r="G55" s="18">
        <v>2</v>
      </c>
      <c r="H55" s="18" t="s">
        <v>277</v>
      </c>
    </row>
    <row r="56" spans="1:8" ht="41.25">
      <c r="A56" s="179"/>
      <c r="B56" s="133" t="s">
        <v>48</v>
      </c>
      <c r="C56" s="18" t="s">
        <v>361</v>
      </c>
      <c r="D56" s="18" t="s">
        <v>362</v>
      </c>
      <c r="E56" s="113" t="s">
        <v>49</v>
      </c>
      <c r="F56" s="17" t="s">
        <v>51</v>
      </c>
      <c r="G56" s="18">
        <v>8</v>
      </c>
      <c r="H56" s="18" t="s">
        <v>277</v>
      </c>
    </row>
    <row r="57" spans="1:8" ht="68.25">
      <c r="A57" s="179"/>
      <c r="B57" s="186" t="s">
        <v>230</v>
      </c>
      <c r="C57" s="18" t="s">
        <v>362</v>
      </c>
      <c r="D57" s="18" t="s">
        <v>363</v>
      </c>
      <c r="E57" s="113" t="s">
        <v>231</v>
      </c>
      <c r="F57" s="17" t="s">
        <v>233</v>
      </c>
      <c r="G57" s="18">
        <v>5</v>
      </c>
      <c r="H57" s="18" t="s">
        <v>277</v>
      </c>
    </row>
    <row r="58" spans="1:8" ht="41.25">
      <c r="A58" s="180"/>
      <c r="B58" s="191"/>
      <c r="C58" s="18" t="s">
        <v>363</v>
      </c>
      <c r="D58" s="30" t="s">
        <v>364</v>
      </c>
      <c r="E58" s="113" t="s">
        <v>239</v>
      </c>
      <c r="F58" s="17" t="s">
        <v>241</v>
      </c>
      <c r="G58" s="18">
        <v>3</v>
      </c>
      <c r="H58" s="18" t="s">
        <v>277</v>
      </c>
    </row>
    <row r="59" spans="1:8">
      <c r="A59" s="24"/>
      <c r="B59" s="25"/>
      <c r="C59" s="25"/>
      <c r="D59" s="25"/>
      <c r="E59" s="25"/>
      <c r="F59" s="26" t="s">
        <v>365</v>
      </c>
      <c r="G59" s="26">
        <f>G53+G54+G55+G56+G57+G58</f>
        <v>24</v>
      </c>
      <c r="H59" s="27"/>
    </row>
    <row r="61" spans="1:8">
      <c r="A61" s="97" t="s">
        <v>311</v>
      </c>
      <c r="B61" s="97" t="s">
        <v>312</v>
      </c>
      <c r="C61" s="97" t="s">
        <v>313</v>
      </c>
      <c r="D61" s="97" t="s">
        <v>314</v>
      </c>
      <c r="E61" s="97" t="s">
        <v>1</v>
      </c>
      <c r="F61" s="97" t="s">
        <v>270</v>
      </c>
      <c r="G61" s="97" t="s">
        <v>272</v>
      </c>
      <c r="H61" s="97" t="s">
        <v>315</v>
      </c>
    </row>
    <row r="62" spans="1:8" ht="54.75">
      <c r="A62" s="177" t="s">
        <v>366</v>
      </c>
      <c r="B62" s="109" t="s">
        <v>243</v>
      </c>
      <c r="C62" s="30" t="s">
        <v>367</v>
      </c>
      <c r="D62" s="18" t="s">
        <v>367</v>
      </c>
      <c r="E62" s="17" t="s">
        <v>244</v>
      </c>
      <c r="F62" s="17" t="s">
        <v>246</v>
      </c>
      <c r="G62" s="18">
        <v>2</v>
      </c>
      <c r="H62" s="18" t="s">
        <v>277</v>
      </c>
    </row>
    <row r="63" spans="1:8" ht="54.75">
      <c r="A63" s="177"/>
      <c r="B63" s="128" t="s">
        <v>349</v>
      </c>
      <c r="C63" s="18" t="s">
        <v>367</v>
      </c>
      <c r="D63" s="18" t="s">
        <v>367</v>
      </c>
      <c r="E63" s="17" t="s">
        <v>257</v>
      </c>
      <c r="F63" s="17" t="s">
        <v>259</v>
      </c>
      <c r="G63" s="18">
        <v>2</v>
      </c>
      <c r="H63" s="18" t="s">
        <v>277</v>
      </c>
    </row>
    <row r="64" spans="1:8" ht="41.25">
      <c r="A64" s="177"/>
      <c r="B64" s="165" t="s">
        <v>48</v>
      </c>
      <c r="C64" s="18" t="s">
        <v>367</v>
      </c>
      <c r="D64" s="18" t="s">
        <v>367</v>
      </c>
      <c r="E64" s="17" t="s">
        <v>53</v>
      </c>
      <c r="F64" s="17" t="s">
        <v>55</v>
      </c>
      <c r="G64" s="18">
        <v>2</v>
      </c>
      <c r="H64" s="18" t="s">
        <v>277</v>
      </c>
    </row>
    <row r="65" spans="1:8" ht="54.75">
      <c r="A65" s="177"/>
      <c r="B65" s="182"/>
      <c r="C65" s="18" t="s">
        <v>368</v>
      </c>
      <c r="D65" s="18" t="s">
        <v>369</v>
      </c>
      <c r="E65" s="17" t="s">
        <v>57</v>
      </c>
      <c r="F65" s="17" t="s">
        <v>59</v>
      </c>
      <c r="G65" s="18">
        <v>8</v>
      </c>
      <c r="H65" s="18" t="s">
        <v>277</v>
      </c>
    </row>
    <row r="66" spans="1:8" ht="41.25">
      <c r="A66" s="177"/>
      <c r="B66" s="34" t="s">
        <v>69</v>
      </c>
      <c r="C66" s="18" t="s">
        <v>369</v>
      </c>
      <c r="D66" s="18" t="s">
        <v>370</v>
      </c>
      <c r="E66" s="17" t="s">
        <v>70</v>
      </c>
      <c r="F66" s="17" t="s">
        <v>72</v>
      </c>
      <c r="G66" s="18">
        <v>3</v>
      </c>
      <c r="H66" s="132" t="s">
        <v>279</v>
      </c>
    </row>
    <row r="67" spans="1:8" ht="41.25">
      <c r="A67" s="177"/>
      <c r="B67" s="108" t="s">
        <v>91</v>
      </c>
      <c r="C67" s="18" t="s">
        <v>370</v>
      </c>
      <c r="D67" s="29" t="s">
        <v>371</v>
      </c>
      <c r="E67" s="17" t="s">
        <v>92</v>
      </c>
      <c r="F67" s="17" t="s">
        <v>94</v>
      </c>
      <c r="G67" s="18">
        <v>5</v>
      </c>
      <c r="H67" s="132" t="s">
        <v>279</v>
      </c>
    </row>
    <row r="68" spans="1:8">
      <c r="A68" s="24"/>
      <c r="B68" s="25"/>
      <c r="C68" s="25"/>
      <c r="D68" s="25"/>
      <c r="E68" s="25"/>
      <c r="F68" s="26" t="s">
        <v>372</v>
      </c>
      <c r="G68" s="26">
        <f>G63+G64+G65+G62+G66+G67</f>
        <v>22</v>
      </c>
      <c r="H68" s="27"/>
    </row>
    <row r="70" spans="1:8">
      <c r="A70" s="23" t="s">
        <v>311</v>
      </c>
      <c r="B70" s="23" t="s">
        <v>312</v>
      </c>
      <c r="C70" s="23" t="s">
        <v>313</v>
      </c>
      <c r="D70" s="23" t="s">
        <v>314</v>
      </c>
      <c r="E70" s="23" t="s">
        <v>1</v>
      </c>
      <c r="F70" s="23" t="s">
        <v>270</v>
      </c>
      <c r="G70" s="23" t="s">
        <v>272</v>
      </c>
      <c r="H70" s="23" t="s">
        <v>315</v>
      </c>
    </row>
    <row r="71" spans="1:8" ht="54.75">
      <c r="A71" s="178" t="s">
        <v>373</v>
      </c>
      <c r="B71" s="130" t="s">
        <v>110</v>
      </c>
      <c r="C71" s="30" t="s">
        <v>375</v>
      </c>
      <c r="D71" s="18" t="s">
        <v>376</v>
      </c>
      <c r="E71" s="17" t="s">
        <v>111</v>
      </c>
      <c r="F71" s="17" t="s">
        <v>113</v>
      </c>
      <c r="G71" s="18">
        <v>5</v>
      </c>
      <c r="H71" s="7" t="s">
        <v>279</v>
      </c>
    </row>
    <row r="72" spans="1:8" ht="54.75">
      <c r="A72" s="179"/>
      <c r="B72" s="108" t="s">
        <v>96</v>
      </c>
      <c r="C72" s="18" t="s">
        <v>376</v>
      </c>
      <c r="D72" s="18" t="s">
        <v>377</v>
      </c>
      <c r="E72" s="2" t="s">
        <v>97</v>
      </c>
      <c r="F72" s="17" t="s">
        <v>99</v>
      </c>
      <c r="G72" s="18">
        <v>5</v>
      </c>
      <c r="H72" s="7" t="s">
        <v>279</v>
      </c>
    </row>
    <row r="73" spans="1:8" ht="54.75">
      <c r="A73" s="179"/>
      <c r="B73" s="39" t="s">
        <v>137</v>
      </c>
      <c r="C73" s="18" t="s">
        <v>377</v>
      </c>
      <c r="D73" s="30" t="s">
        <v>379</v>
      </c>
      <c r="E73" s="17" t="s">
        <v>138</v>
      </c>
      <c r="F73" s="21" t="s">
        <v>140</v>
      </c>
      <c r="G73" s="18">
        <v>13</v>
      </c>
      <c r="H73" s="7" t="s">
        <v>279</v>
      </c>
    </row>
    <row r="74" spans="1:8">
      <c r="A74" s="49"/>
      <c r="B74" s="46"/>
      <c r="C74" s="46"/>
      <c r="D74" s="46"/>
      <c r="E74" s="46"/>
      <c r="F74" s="50" t="s">
        <v>380</v>
      </c>
      <c r="G74" s="50">
        <f>G71+G72+G73</f>
        <v>23</v>
      </c>
      <c r="H74" s="51"/>
    </row>
    <row r="76" spans="1:8">
      <c r="A76" s="97" t="s">
        <v>311</v>
      </c>
      <c r="B76" s="97" t="s">
        <v>312</v>
      </c>
      <c r="C76" s="97" t="s">
        <v>313</v>
      </c>
      <c r="D76" s="97" t="s">
        <v>314</v>
      </c>
      <c r="E76" s="97" t="s">
        <v>1</v>
      </c>
      <c r="F76" s="97" t="s">
        <v>270</v>
      </c>
      <c r="G76" s="97" t="s">
        <v>272</v>
      </c>
      <c r="H76" s="97" t="s">
        <v>315</v>
      </c>
    </row>
    <row r="77" spans="1:8" ht="41.25">
      <c r="A77" s="177" t="s">
        <v>381</v>
      </c>
      <c r="B77" s="39" t="s">
        <v>142</v>
      </c>
      <c r="C77" s="29" t="s">
        <v>382</v>
      </c>
      <c r="D77" s="19" t="s">
        <v>383</v>
      </c>
      <c r="E77" s="17" t="s">
        <v>155</v>
      </c>
      <c r="F77" s="21" t="s">
        <v>157</v>
      </c>
      <c r="G77" s="18">
        <v>8</v>
      </c>
      <c r="H77" s="7" t="s">
        <v>279</v>
      </c>
    </row>
    <row r="78" spans="1:8" ht="41.25">
      <c r="A78" s="177"/>
      <c r="B78" s="39" t="s">
        <v>163</v>
      </c>
      <c r="C78" s="19" t="s">
        <v>383</v>
      </c>
      <c r="D78" s="19" t="s">
        <v>383</v>
      </c>
      <c r="E78" s="17" t="s">
        <v>168</v>
      </c>
      <c r="F78" s="21" t="s">
        <v>170</v>
      </c>
      <c r="G78" s="18">
        <v>3</v>
      </c>
      <c r="H78" s="7" t="s">
        <v>279</v>
      </c>
    </row>
    <row r="79" spans="1:8" ht="54.75">
      <c r="A79" s="177"/>
      <c r="B79" s="39" t="s">
        <v>189</v>
      </c>
      <c r="C79" s="19" t="s">
        <v>383</v>
      </c>
      <c r="D79" s="19" t="s">
        <v>384</v>
      </c>
      <c r="E79" s="17" t="s">
        <v>190</v>
      </c>
      <c r="F79" s="17" t="s">
        <v>192</v>
      </c>
      <c r="G79" s="18">
        <v>5</v>
      </c>
      <c r="H79" s="7" t="s">
        <v>279</v>
      </c>
    </row>
    <row r="80" spans="1:8" ht="41.25">
      <c r="A80" s="177"/>
      <c r="B80" s="183" t="s">
        <v>204</v>
      </c>
      <c r="C80" s="19" t="s">
        <v>384</v>
      </c>
      <c r="D80" s="18" t="s">
        <v>384</v>
      </c>
      <c r="E80" s="17" t="s">
        <v>205</v>
      </c>
      <c r="F80" s="17" t="s">
        <v>207</v>
      </c>
      <c r="G80" s="18">
        <v>1</v>
      </c>
      <c r="H80" s="7" t="s">
        <v>279</v>
      </c>
    </row>
    <row r="81" spans="1:8" ht="54.75">
      <c r="A81" s="177"/>
      <c r="B81" s="185"/>
      <c r="C81" s="18" t="s">
        <v>384</v>
      </c>
      <c r="D81" s="19" t="s">
        <v>384</v>
      </c>
      <c r="E81" s="17" t="s">
        <v>209</v>
      </c>
      <c r="F81" s="17" t="s">
        <v>211</v>
      </c>
      <c r="G81" s="18">
        <v>1</v>
      </c>
      <c r="H81" s="7" t="s">
        <v>279</v>
      </c>
    </row>
    <row r="82" spans="1:8" ht="54.75">
      <c r="A82" s="177"/>
      <c r="B82" s="109" t="s">
        <v>230</v>
      </c>
      <c r="C82" s="18" t="s">
        <v>385</v>
      </c>
      <c r="D82" s="19" t="s">
        <v>385</v>
      </c>
      <c r="E82" s="17" t="s">
        <v>235</v>
      </c>
      <c r="F82" s="17" t="s">
        <v>237</v>
      </c>
      <c r="G82" s="18">
        <v>2</v>
      </c>
      <c r="H82" s="7" t="s">
        <v>279</v>
      </c>
    </row>
    <row r="83" spans="1:8" ht="41.25">
      <c r="A83" s="177"/>
      <c r="B83" s="128" t="s">
        <v>349</v>
      </c>
      <c r="C83" s="135" t="s">
        <v>385</v>
      </c>
      <c r="D83" s="30" t="s">
        <v>387</v>
      </c>
      <c r="E83" s="113" t="s">
        <v>253</v>
      </c>
      <c r="F83" s="17" t="s">
        <v>255</v>
      </c>
      <c r="G83" s="18">
        <v>2</v>
      </c>
      <c r="H83" s="7" t="s">
        <v>279</v>
      </c>
    </row>
    <row r="84" spans="1:8">
      <c r="A84" s="24"/>
      <c r="B84" s="25"/>
      <c r="C84" s="25"/>
      <c r="D84" s="25"/>
      <c r="E84" s="25"/>
      <c r="F84" s="26" t="s">
        <v>388</v>
      </c>
      <c r="G84" s="26">
        <f>G77+G78+G79+G80+G81+G82+G83</f>
        <v>22</v>
      </c>
      <c r="H84" s="27"/>
    </row>
    <row r="86" spans="1:8">
      <c r="A86" s="23" t="s">
        <v>311</v>
      </c>
      <c r="B86" s="23" t="s">
        <v>312</v>
      </c>
      <c r="C86" s="23" t="s">
        <v>313</v>
      </c>
      <c r="D86" s="23" t="s">
        <v>314</v>
      </c>
      <c r="E86" s="23" t="s">
        <v>1</v>
      </c>
      <c r="F86" s="23" t="s">
        <v>270</v>
      </c>
      <c r="G86" s="23" t="s">
        <v>272</v>
      </c>
      <c r="H86" s="23" t="s">
        <v>315</v>
      </c>
    </row>
    <row r="87" spans="1:8" ht="41.25">
      <c r="A87" s="178" t="s">
        <v>389</v>
      </c>
      <c r="B87" s="128" t="s">
        <v>349</v>
      </c>
      <c r="C87" s="30" t="s">
        <v>390</v>
      </c>
      <c r="D87" s="18" t="s">
        <v>390</v>
      </c>
      <c r="E87" s="17" t="s">
        <v>261</v>
      </c>
      <c r="F87" s="17" t="s">
        <v>263</v>
      </c>
      <c r="G87" s="18">
        <v>2</v>
      </c>
      <c r="H87" s="7" t="s">
        <v>279</v>
      </c>
    </row>
    <row r="88" spans="1:8" ht="54.75">
      <c r="A88" s="179"/>
      <c r="B88" s="165" t="s">
        <v>48</v>
      </c>
      <c r="C88" s="18" t="s">
        <v>390</v>
      </c>
      <c r="D88" s="18" t="s">
        <v>390</v>
      </c>
      <c r="E88" s="17" t="s">
        <v>61</v>
      </c>
      <c r="F88" s="17" t="s">
        <v>63</v>
      </c>
      <c r="G88" s="18">
        <v>3</v>
      </c>
      <c r="H88" s="7" t="s">
        <v>279</v>
      </c>
    </row>
    <row r="89" spans="1:8" ht="41.25">
      <c r="A89" s="179"/>
      <c r="B89" s="182"/>
      <c r="C89" s="18" t="s">
        <v>390</v>
      </c>
      <c r="D89" s="30" t="s">
        <v>391</v>
      </c>
      <c r="E89" s="17" t="s">
        <v>65</v>
      </c>
      <c r="F89" s="17" t="s">
        <v>67</v>
      </c>
      <c r="G89" s="18">
        <v>2</v>
      </c>
      <c r="H89" s="7" t="s">
        <v>279</v>
      </c>
    </row>
    <row r="90" spans="1:8">
      <c r="A90" s="49"/>
      <c r="B90" s="46"/>
      <c r="C90" s="46"/>
      <c r="D90" s="46"/>
      <c r="E90" s="46"/>
      <c r="F90" s="50" t="s">
        <v>395</v>
      </c>
      <c r="G90" s="50">
        <f>G87+G88+G89</f>
        <v>7</v>
      </c>
      <c r="H90" s="51"/>
    </row>
  </sheetData>
  <mergeCells count="22">
    <mergeCell ref="A2:A6"/>
    <mergeCell ref="A10:A14"/>
    <mergeCell ref="A18:A23"/>
    <mergeCell ref="B10:B11"/>
    <mergeCell ref="B12:B13"/>
    <mergeCell ref="B20:B22"/>
    <mergeCell ref="A36:A40"/>
    <mergeCell ref="A27:A32"/>
    <mergeCell ref="B37:B38"/>
    <mergeCell ref="B39:B40"/>
    <mergeCell ref="A87:A89"/>
    <mergeCell ref="A77:A83"/>
    <mergeCell ref="B80:B81"/>
    <mergeCell ref="B88:B89"/>
    <mergeCell ref="A71:A73"/>
    <mergeCell ref="B47:B48"/>
    <mergeCell ref="A44:A49"/>
    <mergeCell ref="B53:B55"/>
    <mergeCell ref="B57:B58"/>
    <mergeCell ref="A53:A58"/>
    <mergeCell ref="B64:B65"/>
    <mergeCell ref="A62:A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13B4-0686-4EAC-AA3E-12265B5DBB84}">
  <dimension ref="A1:I95"/>
  <sheetViews>
    <sheetView tabSelected="1" zoomScale="85" zoomScaleNormal="85" workbookViewId="0">
      <selection activeCell="I1" sqref="I1:I1048576"/>
    </sheetView>
  </sheetViews>
  <sheetFormatPr defaultColWidth="9.140625" defaultRowHeight="15"/>
  <cols>
    <col min="1" max="1" width="9.140625" style="5" bestFit="1" customWidth="1"/>
    <col min="2" max="2" width="23.42578125" style="5" customWidth="1"/>
    <col min="3" max="4" width="16.7109375" style="5" customWidth="1"/>
    <col min="5" max="5" width="14" style="5" customWidth="1"/>
    <col min="6" max="6" width="112" style="5" customWidth="1"/>
    <col min="7" max="8" width="17.85546875" style="10" customWidth="1"/>
    <col min="9" max="9" width="9.28515625" style="5" customWidth="1"/>
    <col min="10" max="16384" width="9.140625" style="5"/>
  </cols>
  <sheetData>
    <row r="1" spans="1:9">
      <c r="A1" s="97" t="s">
        <v>311</v>
      </c>
      <c r="B1" s="97" t="s">
        <v>312</v>
      </c>
      <c r="C1" s="97" t="s">
        <v>313</v>
      </c>
      <c r="D1" s="97" t="s">
        <v>314</v>
      </c>
      <c r="E1" s="97" t="s">
        <v>1</v>
      </c>
      <c r="F1" s="97" t="s">
        <v>270</v>
      </c>
      <c r="G1" s="97" t="s">
        <v>272</v>
      </c>
      <c r="H1" s="97" t="s">
        <v>315</v>
      </c>
      <c r="I1"/>
    </row>
    <row r="2" spans="1:9" ht="41.25">
      <c r="A2" s="178" t="s">
        <v>316</v>
      </c>
      <c r="B2" s="34" t="s">
        <v>29</v>
      </c>
      <c r="C2" s="29" t="s">
        <v>354</v>
      </c>
      <c r="D2" s="18" t="s">
        <v>354</v>
      </c>
      <c r="E2" s="17" t="s">
        <v>30</v>
      </c>
      <c r="F2" s="2" t="s">
        <v>32</v>
      </c>
      <c r="G2" s="18">
        <v>3</v>
      </c>
      <c r="H2" s="18" t="s">
        <v>275</v>
      </c>
    </row>
    <row r="3" spans="1:9" ht="54.75">
      <c r="A3" s="179"/>
      <c r="B3" s="34" t="s">
        <v>34</v>
      </c>
      <c r="C3" s="18" t="s">
        <v>354</v>
      </c>
      <c r="D3" s="18" t="s">
        <v>355</v>
      </c>
      <c r="E3" s="17" t="s">
        <v>39</v>
      </c>
      <c r="F3" s="17" t="s">
        <v>41</v>
      </c>
      <c r="G3" s="18">
        <v>5</v>
      </c>
      <c r="H3" s="18" t="s">
        <v>275</v>
      </c>
    </row>
    <row r="4" spans="1:9" ht="41.25">
      <c r="A4" s="179"/>
      <c r="B4" s="34" t="s">
        <v>69</v>
      </c>
      <c r="C4" s="18" t="s">
        <v>355</v>
      </c>
      <c r="D4" s="22" t="s">
        <v>356</v>
      </c>
      <c r="E4" s="17" t="s">
        <v>74</v>
      </c>
      <c r="F4" s="17" t="s">
        <v>76</v>
      </c>
      <c r="G4" s="18">
        <v>5</v>
      </c>
      <c r="H4" s="18" t="s">
        <v>275</v>
      </c>
    </row>
    <row r="5" spans="1:9" ht="41.25">
      <c r="A5" s="179"/>
      <c r="B5" s="47" t="s">
        <v>374</v>
      </c>
      <c r="C5" s="22" t="s">
        <v>356</v>
      </c>
      <c r="D5" s="48" t="s">
        <v>397</v>
      </c>
      <c r="E5" s="17" t="s">
        <v>177</v>
      </c>
      <c r="F5" s="17" t="s">
        <v>179</v>
      </c>
      <c r="G5" s="18">
        <v>5</v>
      </c>
      <c r="H5" s="18" t="s">
        <v>275</v>
      </c>
    </row>
    <row r="6" spans="1:9" ht="54.75">
      <c r="A6" s="179"/>
      <c r="B6" s="107" t="s">
        <v>5</v>
      </c>
      <c r="C6" s="48" t="s">
        <v>397</v>
      </c>
      <c r="D6" s="29" t="s">
        <v>357</v>
      </c>
      <c r="E6" s="17" t="s">
        <v>6</v>
      </c>
      <c r="F6" s="17" t="s">
        <v>319</v>
      </c>
      <c r="G6" s="18">
        <v>5</v>
      </c>
      <c r="H6" s="18" t="s">
        <v>275</v>
      </c>
    </row>
    <row r="7" spans="1:9">
      <c r="A7" s="46"/>
      <c r="B7" s="46"/>
      <c r="C7" s="46"/>
      <c r="D7" s="46"/>
      <c r="E7" s="25"/>
      <c r="F7" s="26" t="s">
        <v>324</v>
      </c>
      <c r="G7" s="26">
        <f>G2+G3+G4+G5+G6</f>
        <v>23</v>
      </c>
      <c r="H7" s="27"/>
    </row>
    <row r="9" spans="1:9">
      <c r="A9" s="23" t="s">
        <v>311</v>
      </c>
      <c r="B9" s="23" t="s">
        <v>312</v>
      </c>
      <c r="C9" s="23" t="s">
        <v>313</v>
      </c>
      <c r="D9" s="23" t="s">
        <v>314</v>
      </c>
      <c r="E9" s="23" t="s">
        <v>1</v>
      </c>
      <c r="F9" s="23" t="s">
        <v>270</v>
      </c>
      <c r="G9" s="23" t="s">
        <v>272</v>
      </c>
      <c r="H9" s="23" t="s">
        <v>315</v>
      </c>
    </row>
    <row r="10" spans="1:9" ht="54.75">
      <c r="A10" s="177" t="s">
        <v>325</v>
      </c>
      <c r="B10" s="162" t="s">
        <v>11</v>
      </c>
      <c r="C10" s="29" t="s">
        <v>360</v>
      </c>
      <c r="D10" s="48" t="s">
        <v>360</v>
      </c>
      <c r="E10" s="17" t="s">
        <v>12</v>
      </c>
      <c r="F10" s="17" t="s">
        <v>14</v>
      </c>
      <c r="G10" s="18">
        <v>2</v>
      </c>
      <c r="H10" s="18" t="s">
        <v>275</v>
      </c>
    </row>
    <row r="11" spans="1:9" ht="41.25">
      <c r="A11" s="177"/>
      <c r="B11" s="162"/>
      <c r="C11" s="48" t="s">
        <v>360</v>
      </c>
      <c r="D11" s="18" t="s">
        <v>361</v>
      </c>
      <c r="E11" s="17" t="s">
        <v>16</v>
      </c>
      <c r="F11" s="17" t="s">
        <v>18</v>
      </c>
      <c r="G11" s="18">
        <v>5</v>
      </c>
      <c r="H11" s="18" t="s">
        <v>275</v>
      </c>
    </row>
    <row r="12" spans="1:9" ht="54.75">
      <c r="A12" s="177"/>
      <c r="B12" s="172" t="s">
        <v>374</v>
      </c>
      <c r="C12" s="18" t="s">
        <v>361</v>
      </c>
      <c r="D12" s="48" t="s">
        <v>362</v>
      </c>
      <c r="E12" s="17" t="s">
        <v>181</v>
      </c>
      <c r="F12" s="17" t="s">
        <v>183</v>
      </c>
      <c r="G12" s="18">
        <v>5</v>
      </c>
      <c r="H12" s="18" t="s">
        <v>275</v>
      </c>
    </row>
    <row r="13" spans="1:9" ht="41.25">
      <c r="A13" s="177"/>
      <c r="B13" s="172"/>
      <c r="C13" s="48" t="s">
        <v>362</v>
      </c>
      <c r="D13" s="48" t="s">
        <v>363</v>
      </c>
      <c r="E13" s="17" t="s">
        <v>185</v>
      </c>
      <c r="F13" s="17" t="s">
        <v>187</v>
      </c>
      <c r="G13" s="18">
        <v>3</v>
      </c>
      <c r="H13" s="18" t="s">
        <v>275</v>
      </c>
    </row>
    <row r="14" spans="1:9" ht="41.25">
      <c r="A14" s="177"/>
      <c r="B14" s="39" t="s">
        <v>142</v>
      </c>
      <c r="C14" s="48" t="s">
        <v>363</v>
      </c>
      <c r="D14" s="30" t="s">
        <v>364</v>
      </c>
      <c r="E14" s="17" t="s">
        <v>159</v>
      </c>
      <c r="F14" s="21" t="s">
        <v>161</v>
      </c>
      <c r="G14" s="18">
        <v>5</v>
      </c>
      <c r="H14" s="18" t="s">
        <v>275</v>
      </c>
    </row>
    <row r="15" spans="1:9">
      <c r="A15" s="24"/>
      <c r="B15" s="25"/>
      <c r="C15" s="25"/>
      <c r="D15" s="25"/>
      <c r="E15" s="25"/>
      <c r="F15" s="26" t="s">
        <v>330</v>
      </c>
      <c r="G15" s="26">
        <f>G10+G11+G12+G13+G14</f>
        <v>20</v>
      </c>
      <c r="H15" s="27"/>
    </row>
    <row r="17" spans="1:8">
      <c r="A17" s="97" t="s">
        <v>311</v>
      </c>
      <c r="B17" s="97"/>
      <c r="C17" s="97" t="s">
        <v>313</v>
      </c>
      <c r="D17" s="97" t="s">
        <v>314</v>
      </c>
      <c r="E17" s="97" t="s">
        <v>1</v>
      </c>
      <c r="F17" s="97" t="s">
        <v>270</v>
      </c>
      <c r="G17" s="97" t="s">
        <v>272</v>
      </c>
      <c r="H17" s="97" t="s">
        <v>315</v>
      </c>
    </row>
    <row r="18" spans="1:8" ht="54.75">
      <c r="A18" s="177" t="s">
        <v>331</v>
      </c>
      <c r="B18" s="129" t="s">
        <v>386</v>
      </c>
      <c r="C18" s="30" t="s">
        <v>367</v>
      </c>
      <c r="D18" s="18" t="s">
        <v>367</v>
      </c>
      <c r="E18" s="17" t="s">
        <v>226</v>
      </c>
      <c r="F18" s="17" t="s">
        <v>228</v>
      </c>
      <c r="G18" s="18">
        <v>3</v>
      </c>
      <c r="H18" s="18" t="s">
        <v>275</v>
      </c>
    </row>
    <row r="19" spans="1:8" ht="54.75">
      <c r="A19" s="177"/>
      <c r="B19" s="128" t="s">
        <v>349</v>
      </c>
      <c r="C19" s="18" t="s">
        <v>367</v>
      </c>
      <c r="D19" s="18" t="s">
        <v>368</v>
      </c>
      <c r="E19" s="17" t="s">
        <v>249</v>
      </c>
      <c r="F19" s="17" t="s">
        <v>251</v>
      </c>
      <c r="G19" s="18">
        <v>5</v>
      </c>
      <c r="H19" s="18" t="s">
        <v>275</v>
      </c>
    </row>
    <row r="20" spans="1:8" ht="41.25">
      <c r="A20" s="177"/>
      <c r="B20" s="164" t="s">
        <v>78</v>
      </c>
      <c r="C20" s="18" t="s">
        <v>368</v>
      </c>
      <c r="D20" s="18" t="s">
        <v>369</v>
      </c>
      <c r="E20" s="17" t="s">
        <v>79</v>
      </c>
      <c r="F20" s="158" t="s">
        <v>81</v>
      </c>
      <c r="G20" s="18">
        <v>3</v>
      </c>
      <c r="H20" s="18" t="s">
        <v>275</v>
      </c>
    </row>
    <row r="21" spans="1:8" ht="54.75">
      <c r="A21" s="177"/>
      <c r="B21" s="164"/>
      <c r="C21" s="18" t="s">
        <v>369</v>
      </c>
      <c r="D21" s="18" t="s">
        <v>370</v>
      </c>
      <c r="E21" s="17" t="s">
        <v>83</v>
      </c>
      <c r="F21" s="17" t="s">
        <v>85</v>
      </c>
      <c r="G21" s="18">
        <v>5</v>
      </c>
      <c r="H21" s="18" t="s">
        <v>275</v>
      </c>
    </row>
    <row r="22" spans="1:8" ht="41.25">
      <c r="A22" s="177"/>
      <c r="B22" s="164"/>
      <c r="C22" s="18" t="s">
        <v>370</v>
      </c>
      <c r="D22" s="18" t="s">
        <v>370</v>
      </c>
      <c r="E22" s="17" t="s">
        <v>87</v>
      </c>
      <c r="F22" s="17" t="s">
        <v>89</v>
      </c>
      <c r="G22" s="18">
        <v>3</v>
      </c>
      <c r="H22" s="18" t="s">
        <v>275</v>
      </c>
    </row>
    <row r="23" spans="1:8" ht="27.75">
      <c r="A23" s="177"/>
      <c r="B23" s="34" t="s">
        <v>265</v>
      </c>
      <c r="C23" s="18" t="s">
        <v>370</v>
      </c>
      <c r="D23" s="29" t="s">
        <v>371</v>
      </c>
      <c r="E23" s="17" t="s">
        <v>266</v>
      </c>
      <c r="F23" s="17" t="s">
        <v>398</v>
      </c>
      <c r="G23" s="18">
        <v>2</v>
      </c>
      <c r="H23" s="18" t="s">
        <v>275</v>
      </c>
    </row>
    <row r="24" spans="1:8">
      <c r="A24" s="24"/>
      <c r="B24" s="25"/>
      <c r="C24" s="25"/>
      <c r="D24" s="25"/>
      <c r="E24" s="25"/>
      <c r="F24" s="26" t="s">
        <v>336</v>
      </c>
      <c r="G24" s="26">
        <f>G18+G19+G20+G21+G22+G23</f>
        <v>21</v>
      </c>
      <c r="H24" s="27"/>
    </row>
    <row r="26" spans="1:8">
      <c r="A26" s="97" t="s">
        <v>311</v>
      </c>
      <c r="B26" s="97" t="s">
        <v>312</v>
      </c>
      <c r="C26" s="97" t="s">
        <v>313</v>
      </c>
      <c r="D26" s="97" t="s">
        <v>314</v>
      </c>
      <c r="E26" s="97" t="s">
        <v>1</v>
      </c>
      <c r="F26" s="97" t="s">
        <v>270</v>
      </c>
      <c r="G26" s="97" t="s">
        <v>272</v>
      </c>
      <c r="H26" s="97" t="s">
        <v>315</v>
      </c>
    </row>
    <row r="27" spans="1:8" ht="41.25">
      <c r="A27" s="178" t="s">
        <v>337</v>
      </c>
      <c r="B27" s="34" t="s">
        <v>43</v>
      </c>
      <c r="C27" s="29" t="s">
        <v>375</v>
      </c>
      <c r="D27" s="18" t="s">
        <v>375</v>
      </c>
      <c r="E27" s="17" t="s">
        <v>44</v>
      </c>
      <c r="F27" s="17" t="s">
        <v>282</v>
      </c>
      <c r="G27" s="18">
        <v>2</v>
      </c>
      <c r="H27" s="18" t="s">
        <v>275</v>
      </c>
    </row>
    <row r="28" spans="1:8" ht="54.75">
      <c r="A28" s="179"/>
      <c r="B28" s="34" t="s">
        <v>34</v>
      </c>
      <c r="C28" s="18" t="s">
        <v>375</v>
      </c>
      <c r="D28" s="18" t="s">
        <v>376</v>
      </c>
      <c r="E28" s="17" t="s">
        <v>35</v>
      </c>
      <c r="F28" s="17" t="s">
        <v>37</v>
      </c>
      <c r="G28" s="18">
        <v>5</v>
      </c>
      <c r="H28" s="18" t="s">
        <v>277</v>
      </c>
    </row>
    <row r="29" spans="1:8" ht="41.25">
      <c r="A29" s="179"/>
      <c r="B29" s="39" t="s">
        <v>199</v>
      </c>
      <c r="C29" s="18" t="s">
        <v>376</v>
      </c>
      <c r="D29" s="18" t="s">
        <v>377</v>
      </c>
      <c r="E29" s="17" t="s">
        <v>200</v>
      </c>
      <c r="F29" s="17" t="s">
        <v>202</v>
      </c>
      <c r="G29" s="18">
        <v>5</v>
      </c>
      <c r="H29" s="18" t="s">
        <v>277</v>
      </c>
    </row>
    <row r="30" spans="1:8" ht="41.25">
      <c r="A30" s="179"/>
      <c r="B30" s="107" t="s">
        <v>24</v>
      </c>
      <c r="C30" s="18" t="s">
        <v>377</v>
      </c>
      <c r="D30" s="18" t="s">
        <v>377</v>
      </c>
      <c r="E30" s="17" t="s">
        <v>25</v>
      </c>
      <c r="F30" s="17" t="s">
        <v>323</v>
      </c>
      <c r="G30" s="18">
        <v>2</v>
      </c>
      <c r="H30" s="18" t="s">
        <v>277</v>
      </c>
    </row>
    <row r="31" spans="1:8" ht="54.75">
      <c r="A31" s="179"/>
      <c r="B31" s="107" t="s">
        <v>11</v>
      </c>
      <c r="C31" s="18" t="s">
        <v>377</v>
      </c>
      <c r="D31" s="22" t="s">
        <v>378</v>
      </c>
      <c r="E31" s="17" t="s">
        <v>20</v>
      </c>
      <c r="F31" s="17" t="s">
        <v>22</v>
      </c>
      <c r="G31" s="18">
        <v>5</v>
      </c>
      <c r="H31" s="18" t="s">
        <v>277</v>
      </c>
    </row>
    <row r="32" spans="1:8" ht="41.25">
      <c r="A32" s="179"/>
      <c r="B32" s="44" t="s">
        <v>347</v>
      </c>
      <c r="C32" s="22" t="s">
        <v>378</v>
      </c>
      <c r="D32" s="22" t="s">
        <v>378</v>
      </c>
      <c r="E32" s="17" t="s">
        <v>120</v>
      </c>
      <c r="F32" s="21" t="s">
        <v>122</v>
      </c>
      <c r="G32" s="18">
        <v>2</v>
      </c>
      <c r="H32" s="18" t="s">
        <v>277</v>
      </c>
    </row>
    <row r="33" spans="1:8" ht="54.75">
      <c r="A33" s="180"/>
      <c r="B33" s="130" t="s">
        <v>110</v>
      </c>
      <c r="C33" s="22" t="s">
        <v>378</v>
      </c>
      <c r="D33" s="29" t="s">
        <v>379</v>
      </c>
      <c r="E33" s="17" t="s">
        <v>115</v>
      </c>
      <c r="F33" s="17" t="s">
        <v>117</v>
      </c>
      <c r="G33" s="18">
        <v>2</v>
      </c>
      <c r="H33" s="18" t="s">
        <v>277</v>
      </c>
    </row>
    <row r="34" spans="1:8">
      <c r="A34" s="24"/>
      <c r="B34" s="25"/>
      <c r="C34" s="25"/>
      <c r="D34" s="25"/>
      <c r="E34" s="25"/>
      <c r="F34" s="26" t="s">
        <v>343</v>
      </c>
      <c r="G34" s="26">
        <f>G27+G28+G29+G30+G31+G32+G33</f>
        <v>23</v>
      </c>
      <c r="H34" s="27"/>
    </row>
    <row r="36" spans="1:8">
      <c r="A36" s="23" t="s">
        <v>311</v>
      </c>
      <c r="B36" s="23" t="s">
        <v>312</v>
      </c>
      <c r="C36" s="23" t="s">
        <v>313</v>
      </c>
      <c r="D36" s="23" t="s">
        <v>314</v>
      </c>
      <c r="E36" s="23" t="s">
        <v>1</v>
      </c>
      <c r="F36" s="23" t="s">
        <v>270</v>
      </c>
      <c r="G36" s="23" t="s">
        <v>272</v>
      </c>
      <c r="H36" s="23" t="s">
        <v>315</v>
      </c>
    </row>
    <row r="37" spans="1:8" ht="54.75">
      <c r="A37" s="179"/>
      <c r="B37" s="108" t="s">
        <v>101</v>
      </c>
      <c r="C37" s="30" t="s">
        <v>382</v>
      </c>
      <c r="D37" s="18" t="s">
        <v>382</v>
      </c>
      <c r="E37" s="17" t="s">
        <v>102</v>
      </c>
      <c r="F37" s="17" t="s">
        <v>104</v>
      </c>
      <c r="G37" s="18">
        <v>2</v>
      </c>
      <c r="H37" s="18" t="s">
        <v>277</v>
      </c>
    </row>
    <row r="38" spans="1:8" ht="41.25">
      <c r="A38" s="179"/>
      <c r="B38" s="45" t="s">
        <v>124</v>
      </c>
      <c r="C38" s="18" t="s">
        <v>382</v>
      </c>
      <c r="D38" s="18" t="s">
        <v>383</v>
      </c>
      <c r="E38" s="17" t="s">
        <v>125</v>
      </c>
      <c r="F38" s="21" t="s">
        <v>127</v>
      </c>
      <c r="G38" s="18">
        <v>5</v>
      </c>
      <c r="H38" s="18" t="s">
        <v>277</v>
      </c>
    </row>
    <row r="39" spans="1:8" ht="41.25">
      <c r="A39" s="179"/>
      <c r="B39" s="141"/>
      <c r="C39" s="18" t="s">
        <v>383</v>
      </c>
      <c r="D39" s="18" t="s">
        <v>384</v>
      </c>
      <c r="E39" s="17" t="s">
        <v>129</v>
      </c>
      <c r="F39" s="21" t="s">
        <v>131</v>
      </c>
      <c r="G39" s="18">
        <v>3</v>
      </c>
      <c r="H39" s="18" t="s">
        <v>277</v>
      </c>
    </row>
    <row r="40" spans="1:8" ht="41.25" customHeight="1">
      <c r="A40" s="179"/>
      <c r="B40" s="175" t="s">
        <v>142</v>
      </c>
      <c r="C40" s="18" t="s">
        <v>384</v>
      </c>
      <c r="D40" s="18" t="s">
        <v>385</v>
      </c>
      <c r="E40" s="2" t="s">
        <v>143</v>
      </c>
      <c r="F40" s="21" t="s">
        <v>145</v>
      </c>
      <c r="G40" s="18">
        <v>5</v>
      </c>
      <c r="H40" s="18" t="s">
        <v>277</v>
      </c>
    </row>
    <row r="41" spans="1:8" ht="39" customHeight="1">
      <c r="A41" s="180"/>
      <c r="B41" s="190"/>
      <c r="C41" s="18" t="s">
        <v>385</v>
      </c>
      <c r="D41" s="30" t="s">
        <v>387</v>
      </c>
      <c r="E41" s="2" t="s">
        <v>147</v>
      </c>
      <c r="F41" s="21" t="s">
        <v>149</v>
      </c>
      <c r="G41" s="8">
        <v>8</v>
      </c>
      <c r="H41" s="8" t="s">
        <v>277</v>
      </c>
    </row>
    <row r="42" spans="1:8">
      <c r="A42" s="24"/>
      <c r="B42" s="25"/>
      <c r="C42" s="25"/>
      <c r="D42" s="25"/>
      <c r="E42" s="25"/>
      <c r="F42" s="26" t="s">
        <v>343</v>
      </c>
      <c r="G42" s="26">
        <f>G37+G38+G39+G40+G41</f>
        <v>23</v>
      </c>
      <c r="H42" s="27"/>
    </row>
    <row r="44" spans="1:8">
      <c r="A44" s="23" t="s">
        <v>311</v>
      </c>
      <c r="B44" s="23" t="s">
        <v>312</v>
      </c>
      <c r="C44" s="23" t="s">
        <v>313</v>
      </c>
      <c r="D44" s="23" t="s">
        <v>314</v>
      </c>
      <c r="E44" s="23" t="s">
        <v>1</v>
      </c>
      <c r="F44" s="23" t="s">
        <v>270</v>
      </c>
      <c r="G44" s="23" t="s">
        <v>272</v>
      </c>
      <c r="H44" s="23" t="s">
        <v>315</v>
      </c>
    </row>
    <row r="45" spans="1:8" ht="41.25">
      <c r="A45" s="177" t="s">
        <v>353</v>
      </c>
      <c r="B45" s="39" t="s">
        <v>142</v>
      </c>
      <c r="C45" s="29" t="s">
        <v>390</v>
      </c>
      <c r="D45" s="18" t="s">
        <v>391</v>
      </c>
      <c r="E45" s="17" t="s">
        <v>151</v>
      </c>
      <c r="F45" s="21" t="s">
        <v>153</v>
      </c>
      <c r="G45" s="18">
        <v>5</v>
      </c>
      <c r="H45" s="18" t="s">
        <v>277</v>
      </c>
    </row>
    <row r="46" spans="1:8" ht="41.25">
      <c r="A46" s="177"/>
      <c r="B46" s="39" t="s">
        <v>124</v>
      </c>
      <c r="C46" s="18" t="s">
        <v>391</v>
      </c>
      <c r="D46" s="18" t="s">
        <v>391</v>
      </c>
      <c r="E46" s="17" t="s">
        <v>133</v>
      </c>
      <c r="F46" s="17" t="s">
        <v>135</v>
      </c>
      <c r="G46" s="18">
        <v>3</v>
      </c>
      <c r="H46" s="18" t="s">
        <v>277</v>
      </c>
    </row>
    <row r="47" spans="1:8" ht="54.75">
      <c r="A47" s="177"/>
      <c r="B47" s="39" t="s">
        <v>194</v>
      </c>
      <c r="C47" s="18" t="s">
        <v>391</v>
      </c>
      <c r="D47" s="18" t="s">
        <v>392</v>
      </c>
      <c r="E47" s="17" t="s">
        <v>195</v>
      </c>
      <c r="F47" s="21" t="s">
        <v>197</v>
      </c>
      <c r="G47" s="18">
        <v>2</v>
      </c>
      <c r="H47" s="18" t="s">
        <v>277</v>
      </c>
    </row>
    <row r="48" spans="1:8" ht="54.75">
      <c r="A48" s="177"/>
      <c r="B48" s="45" t="s">
        <v>163</v>
      </c>
      <c r="C48" s="18" t="s">
        <v>392</v>
      </c>
      <c r="D48" s="18" t="s">
        <v>394</v>
      </c>
      <c r="E48" s="17" t="s">
        <v>164</v>
      </c>
      <c r="F48" s="21" t="s">
        <v>166</v>
      </c>
      <c r="G48" s="18">
        <v>5</v>
      </c>
      <c r="H48" s="18" t="s">
        <v>277</v>
      </c>
    </row>
    <row r="49" spans="1:8" ht="41.25">
      <c r="A49" s="177"/>
      <c r="B49" s="141"/>
      <c r="C49" s="18" t="s">
        <v>394</v>
      </c>
      <c r="D49" s="30" t="s">
        <v>399</v>
      </c>
      <c r="E49" s="17" t="s">
        <v>172</v>
      </c>
      <c r="F49" s="21" t="s">
        <v>174</v>
      </c>
      <c r="G49" s="18">
        <v>5</v>
      </c>
      <c r="H49" s="18" t="s">
        <v>277</v>
      </c>
    </row>
    <row r="50" spans="1:8">
      <c r="A50" s="24"/>
      <c r="B50" s="25"/>
      <c r="C50" s="25"/>
      <c r="D50" s="25"/>
      <c r="E50" s="25"/>
      <c r="F50" s="26" t="s">
        <v>358</v>
      </c>
      <c r="G50" s="26">
        <f>G45+G46+G47+G48+G49</f>
        <v>20</v>
      </c>
      <c r="H50" s="27"/>
    </row>
    <row r="52" spans="1:8">
      <c r="A52" s="97" t="s">
        <v>311</v>
      </c>
      <c r="B52" s="97" t="s">
        <v>312</v>
      </c>
      <c r="C52" s="97" t="s">
        <v>313</v>
      </c>
      <c r="D52" s="97" t="s">
        <v>314</v>
      </c>
      <c r="E52" s="97" t="s">
        <v>1</v>
      </c>
      <c r="F52" s="97" t="s">
        <v>270</v>
      </c>
      <c r="G52" s="97" t="s">
        <v>272</v>
      </c>
      <c r="H52" s="97" t="s">
        <v>315</v>
      </c>
    </row>
    <row r="53" spans="1:8" ht="41.25">
      <c r="A53" s="178" t="s">
        <v>359</v>
      </c>
      <c r="B53" s="108" t="s">
        <v>101</v>
      </c>
      <c r="C53" s="30" t="s">
        <v>400</v>
      </c>
      <c r="D53" s="118" t="s">
        <v>400</v>
      </c>
      <c r="E53" s="17" t="s">
        <v>106</v>
      </c>
      <c r="F53" s="17" t="s">
        <v>108</v>
      </c>
      <c r="G53" s="18">
        <v>2</v>
      </c>
      <c r="H53" s="18" t="s">
        <v>277</v>
      </c>
    </row>
    <row r="54" spans="1:8" ht="41.25">
      <c r="A54" s="179"/>
      <c r="B54" s="183" t="s">
        <v>213</v>
      </c>
      <c r="C54" s="118" t="s">
        <v>400</v>
      </c>
      <c r="D54" s="118" t="s">
        <v>400</v>
      </c>
      <c r="E54" s="17" t="s">
        <v>214</v>
      </c>
      <c r="F54" s="17" t="s">
        <v>216</v>
      </c>
      <c r="G54" s="18">
        <v>3</v>
      </c>
      <c r="H54" s="18" t="s">
        <v>277</v>
      </c>
    </row>
    <row r="55" spans="1:8" ht="54.75">
      <c r="A55" s="179"/>
      <c r="B55" s="184"/>
      <c r="C55" s="118" t="s">
        <v>400</v>
      </c>
      <c r="D55" s="18" t="s">
        <v>401</v>
      </c>
      <c r="E55" s="113" t="s">
        <v>218</v>
      </c>
      <c r="F55" s="17" t="s">
        <v>220</v>
      </c>
      <c r="G55" s="18">
        <v>3</v>
      </c>
      <c r="H55" s="18" t="s">
        <v>277</v>
      </c>
    </row>
    <row r="56" spans="1:8" ht="54.75">
      <c r="A56" s="179"/>
      <c r="B56" s="185"/>
      <c r="C56" s="18" t="s">
        <v>401</v>
      </c>
      <c r="D56" s="18" t="s">
        <v>402</v>
      </c>
      <c r="E56" s="113" t="s">
        <v>222</v>
      </c>
      <c r="F56" s="17" t="s">
        <v>224</v>
      </c>
      <c r="G56" s="18">
        <v>2</v>
      </c>
      <c r="H56" s="18" t="s">
        <v>277</v>
      </c>
    </row>
    <row r="57" spans="1:8" ht="41.25">
      <c r="A57" s="179"/>
      <c r="B57" s="133" t="s">
        <v>48</v>
      </c>
      <c r="C57" s="18" t="s">
        <v>402</v>
      </c>
      <c r="D57" s="18" t="s">
        <v>403</v>
      </c>
      <c r="E57" s="113" t="s">
        <v>49</v>
      </c>
      <c r="F57" s="17" t="s">
        <v>51</v>
      </c>
      <c r="G57" s="18">
        <v>8</v>
      </c>
      <c r="H57" s="18" t="s">
        <v>277</v>
      </c>
    </row>
    <row r="58" spans="1:8" ht="54.75">
      <c r="A58" s="180"/>
      <c r="B58" s="109" t="s">
        <v>243</v>
      </c>
      <c r="C58" s="18" t="s">
        <v>403</v>
      </c>
      <c r="D58" s="30" t="s">
        <v>403</v>
      </c>
      <c r="E58" s="17" t="s">
        <v>244</v>
      </c>
      <c r="F58" s="17" t="s">
        <v>246</v>
      </c>
      <c r="G58" s="18">
        <v>2</v>
      </c>
      <c r="H58" s="18" t="s">
        <v>277</v>
      </c>
    </row>
    <row r="59" spans="1:8">
      <c r="A59" s="24"/>
      <c r="B59" s="25"/>
      <c r="C59" s="25"/>
      <c r="D59" s="25"/>
      <c r="E59" s="25"/>
      <c r="F59" s="26" t="s">
        <v>365</v>
      </c>
      <c r="G59" s="26">
        <f>G53++G54+G55+G56+G57</f>
        <v>18</v>
      </c>
      <c r="H59" s="27"/>
    </row>
    <row r="61" spans="1:8">
      <c r="A61" s="97" t="s">
        <v>311</v>
      </c>
      <c r="B61" s="97" t="s">
        <v>312</v>
      </c>
      <c r="C61" s="97" t="s">
        <v>313</v>
      </c>
      <c r="D61" s="97" t="s">
        <v>314</v>
      </c>
      <c r="E61" s="97" t="s">
        <v>1</v>
      </c>
      <c r="F61" s="97" t="s">
        <v>270</v>
      </c>
      <c r="G61" s="97" t="s">
        <v>272</v>
      </c>
      <c r="H61" s="97" t="s">
        <v>315</v>
      </c>
    </row>
    <row r="62" spans="1:8" ht="68.25">
      <c r="A62" s="177" t="s">
        <v>366</v>
      </c>
      <c r="B62" s="186" t="s">
        <v>230</v>
      </c>
      <c r="C62" s="30" t="s">
        <v>404</v>
      </c>
      <c r="D62" s="18" t="s">
        <v>405</v>
      </c>
      <c r="E62" s="113" t="s">
        <v>231</v>
      </c>
      <c r="F62" s="17" t="s">
        <v>233</v>
      </c>
      <c r="G62" s="18">
        <v>5</v>
      </c>
      <c r="H62" s="18" t="s">
        <v>277</v>
      </c>
    </row>
    <row r="63" spans="1:8" ht="41.25">
      <c r="A63" s="177"/>
      <c r="B63" s="191"/>
      <c r="C63" s="18" t="s">
        <v>405</v>
      </c>
      <c r="D63" s="18" t="s">
        <v>405</v>
      </c>
      <c r="E63" s="113" t="s">
        <v>239</v>
      </c>
      <c r="F63" s="17" t="s">
        <v>241</v>
      </c>
      <c r="G63" s="18">
        <v>3</v>
      </c>
      <c r="H63" s="18" t="s">
        <v>277</v>
      </c>
    </row>
    <row r="64" spans="1:8" ht="54.75">
      <c r="A64" s="177"/>
      <c r="B64" s="128" t="s">
        <v>349</v>
      </c>
      <c r="C64" s="18" t="s">
        <v>405</v>
      </c>
      <c r="D64" s="18" t="s">
        <v>406</v>
      </c>
      <c r="E64" s="17" t="s">
        <v>257</v>
      </c>
      <c r="F64" s="17" t="s">
        <v>259</v>
      </c>
      <c r="G64" s="18">
        <v>2</v>
      </c>
      <c r="H64" s="18" t="s">
        <v>277</v>
      </c>
    </row>
    <row r="65" spans="1:8" ht="41.25">
      <c r="A65" s="177"/>
      <c r="B65" s="136" t="s">
        <v>48</v>
      </c>
      <c r="C65" s="18" t="s">
        <v>406</v>
      </c>
      <c r="D65" s="18" t="s">
        <v>406</v>
      </c>
      <c r="E65" s="17" t="s">
        <v>53</v>
      </c>
      <c r="F65" s="17" t="s">
        <v>55</v>
      </c>
      <c r="G65" s="18">
        <v>2</v>
      </c>
      <c r="H65" s="18" t="s">
        <v>277</v>
      </c>
    </row>
    <row r="66" spans="1:8" ht="54.75">
      <c r="A66" s="177"/>
      <c r="B66" s="138"/>
      <c r="C66" s="18" t="s">
        <v>406</v>
      </c>
      <c r="D66" s="18" t="s">
        <v>407</v>
      </c>
      <c r="E66" s="17" t="s">
        <v>57</v>
      </c>
      <c r="F66" s="17" t="s">
        <v>59</v>
      </c>
      <c r="G66" s="18">
        <v>8</v>
      </c>
      <c r="H66" s="18" t="s">
        <v>277</v>
      </c>
    </row>
    <row r="67" spans="1:8" ht="41.25">
      <c r="A67" s="177"/>
      <c r="B67" s="34" t="s">
        <v>69</v>
      </c>
      <c r="C67" s="18" t="s">
        <v>407</v>
      </c>
      <c r="D67" s="29" t="s">
        <v>408</v>
      </c>
      <c r="E67" s="17" t="s">
        <v>70</v>
      </c>
      <c r="F67" s="17" t="s">
        <v>72</v>
      </c>
      <c r="G67" s="18">
        <v>3</v>
      </c>
      <c r="H67" s="132" t="s">
        <v>279</v>
      </c>
    </row>
    <row r="68" spans="1:8">
      <c r="A68" s="24"/>
      <c r="B68" s="25"/>
      <c r="C68" s="25"/>
      <c r="D68" s="25"/>
      <c r="E68" s="25"/>
      <c r="F68" s="26" t="s">
        <v>372</v>
      </c>
      <c r="G68" s="26">
        <f>G63+G64+G65+G62+G66+G67</f>
        <v>23</v>
      </c>
      <c r="H68" s="27"/>
    </row>
    <row r="70" spans="1:8">
      <c r="A70" s="23" t="s">
        <v>311</v>
      </c>
      <c r="B70" s="23" t="s">
        <v>312</v>
      </c>
      <c r="C70" s="23" t="s">
        <v>313</v>
      </c>
      <c r="D70" s="23" t="s">
        <v>314</v>
      </c>
      <c r="E70" s="23" t="s">
        <v>1</v>
      </c>
      <c r="F70" s="23" t="s">
        <v>270</v>
      </c>
      <c r="G70" s="23" t="s">
        <v>272</v>
      </c>
      <c r="H70" s="23" t="s">
        <v>315</v>
      </c>
    </row>
    <row r="71" spans="1:8" ht="41.25">
      <c r="A71" s="178" t="s">
        <v>373</v>
      </c>
      <c r="B71" s="108" t="s">
        <v>91</v>
      </c>
      <c r="C71" s="30" t="s">
        <v>409</v>
      </c>
      <c r="D71" s="18" t="s">
        <v>410</v>
      </c>
      <c r="E71" s="17" t="s">
        <v>92</v>
      </c>
      <c r="F71" s="17" t="s">
        <v>94</v>
      </c>
      <c r="G71" s="18">
        <v>5</v>
      </c>
      <c r="H71" s="132" t="s">
        <v>279</v>
      </c>
    </row>
    <row r="72" spans="1:8" ht="54.75">
      <c r="A72" s="179"/>
      <c r="B72" s="130" t="s">
        <v>110</v>
      </c>
      <c r="C72" s="18" t="s">
        <v>410</v>
      </c>
      <c r="D72" s="18" t="s">
        <v>411</v>
      </c>
      <c r="E72" s="17" t="s">
        <v>111</v>
      </c>
      <c r="F72" s="17" t="s">
        <v>113</v>
      </c>
      <c r="G72" s="18">
        <v>5</v>
      </c>
      <c r="H72" s="7" t="s">
        <v>279</v>
      </c>
    </row>
    <row r="73" spans="1:8" ht="54.75">
      <c r="A73" s="179"/>
      <c r="B73" s="108" t="s">
        <v>96</v>
      </c>
      <c r="C73" s="18" t="s">
        <v>411</v>
      </c>
      <c r="D73" s="30" t="s">
        <v>412</v>
      </c>
      <c r="E73" s="2" t="s">
        <v>97</v>
      </c>
      <c r="F73" s="17" t="s">
        <v>99</v>
      </c>
      <c r="G73" s="18">
        <v>5</v>
      </c>
      <c r="H73" s="7" t="s">
        <v>279</v>
      </c>
    </row>
    <row r="74" spans="1:8">
      <c r="A74" s="49"/>
      <c r="B74" s="46"/>
      <c r="C74" s="46"/>
      <c r="D74" s="46"/>
      <c r="E74" s="46"/>
      <c r="F74" s="50" t="s">
        <v>380</v>
      </c>
      <c r="G74" s="50">
        <f>G71+G72+G73</f>
        <v>15</v>
      </c>
      <c r="H74" s="51"/>
    </row>
    <row r="76" spans="1:8">
      <c r="A76" s="97" t="s">
        <v>311</v>
      </c>
      <c r="B76" s="97" t="s">
        <v>312</v>
      </c>
      <c r="C76" s="97" t="s">
        <v>313</v>
      </c>
      <c r="D76" s="97" t="s">
        <v>314</v>
      </c>
      <c r="E76" s="97" t="s">
        <v>1</v>
      </c>
      <c r="F76" s="97" t="s">
        <v>270</v>
      </c>
      <c r="G76" s="97" t="s">
        <v>272</v>
      </c>
      <c r="H76" s="97" t="s">
        <v>315</v>
      </c>
    </row>
    <row r="77" spans="1:8" ht="41.25">
      <c r="A77" s="177" t="s">
        <v>381</v>
      </c>
      <c r="B77" s="39" t="s">
        <v>142</v>
      </c>
      <c r="C77" s="29" t="s">
        <v>413</v>
      </c>
      <c r="D77" s="19" t="s">
        <v>414</v>
      </c>
      <c r="E77" s="17" t="s">
        <v>155</v>
      </c>
      <c r="F77" s="21" t="s">
        <v>157</v>
      </c>
      <c r="G77" s="18">
        <v>8</v>
      </c>
      <c r="H77" s="7" t="s">
        <v>279</v>
      </c>
    </row>
    <row r="78" spans="1:8" ht="41.25">
      <c r="A78" s="177"/>
      <c r="B78" s="39" t="s">
        <v>163</v>
      </c>
      <c r="C78" s="19" t="s">
        <v>414</v>
      </c>
      <c r="D78" s="19" t="s">
        <v>415</v>
      </c>
      <c r="E78" s="17" t="s">
        <v>168</v>
      </c>
      <c r="F78" s="21" t="s">
        <v>170</v>
      </c>
      <c r="G78" s="18">
        <v>3</v>
      </c>
      <c r="H78" s="7" t="s">
        <v>279</v>
      </c>
    </row>
    <row r="79" spans="1:8" ht="54.75">
      <c r="A79" s="177"/>
      <c r="B79" s="39" t="s">
        <v>189</v>
      </c>
      <c r="C79" s="19" t="s">
        <v>415</v>
      </c>
      <c r="D79" s="19" t="s">
        <v>416</v>
      </c>
      <c r="E79" s="17" t="s">
        <v>190</v>
      </c>
      <c r="F79" s="17" t="s">
        <v>192</v>
      </c>
      <c r="G79" s="18">
        <v>5</v>
      </c>
      <c r="H79" s="7" t="s">
        <v>279</v>
      </c>
    </row>
    <row r="80" spans="1:8" ht="41.25">
      <c r="A80" s="177"/>
      <c r="B80" s="139" t="s">
        <v>204</v>
      </c>
      <c r="C80" s="19" t="s">
        <v>416</v>
      </c>
      <c r="D80" s="19" t="s">
        <v>416</v>
      </c>
      <c r="E80" s="17" t="s">
        <v>205</v>
      </c>
      <c r="F80" s="17" t="s">
        <v>207</v>
      </c>
      <c r="G80" s="18">
        <v>1</v>
      </c>
      <c r="H80" s="7" t="s">
        <v>279</v>
      </c>
    </row>
    <row r="81" spans="1:8" ht="54.75">
      <c r="A81" s="177"/>
      <c r="B81" s="140"/>
      <c r="C81" s="19" t="s">
        <v>416</v>
      </c>
      <c r="D81" s="19" t="s">
        <v>416</v>
      </c>
      <c r="E81" s="17" t="s">
        <v>209</v>
      </c>
      <c r="F81" s="17" t="s">
        <v>211</v>
      </c>
      <c r="G81" s="18">
        <v>1</v>
      </c>
      <c r="H81" s="7" t="s">
        <v>279</v>
      </c>
    </row>
    <row r="82" spans="1:8" ht="54.75">
      <c r="A82" s="177"/>
      <c r="B82" s="109" t="s">
        <v>230</v>
      </c>
      <c r="C82" s="18" t="s">
        <v>416</v>
      </c>
      <c r="D82" s="30" t="s">
        <v>417</v>
      </c>
      <c r="E82" s="17" t="s">
        <v>235</v>
      </c>
      <c r="F82" s="17" t="s">
        <v>237</v>
      </c>
      <c r="G82" s="18">
        <v>2</v>
      </c>
      <c r="H82" s="7" t="s">
        <v>279</v>
      </c>
    </row>
    <row r="83" spans="1:8">
      <c r="A83" s="24"/>
      <c r="B83" s="25"/>
      <c r="C83" s="25"/>
      <c r="D83" s="25"/>
      <c r="E83" s="25"/>
      <c r="F83" s="26" t="s">
        <v>388</v>
      </c>
      <c r="G83" s="26">
        <f>G77+G78+G79+G80+G81+G82</f>
        <v>20</v>
      </c>
      <c r="H83" s="27"/>
    </row>
    <row r="85" spans="1:8">
      <c r="A85" s="23" t="s">
        <v>311</v>
      </c>
      <c r="B85" s="23" t="s">
        <v>312</v>
      </c>
      <c r="C85" s="23" t="s">
        <v>313</v>
      </c>
      <c r="D85" s="23" t="s">
        <v>314</v>
      </c>
      <c r="E85" s="23" t="s">
        <v>1</v>
      </c>
      <c r="F85" s="23" t="s">
        <v>270</v>
      </c>
      <c r="G85" s="23" t="s">
        <v>272</v>
      </c>
      <c r="H85" s="23" t="s">
        <v>315</v>
      </c>
    </row>
    <row r="86" spans="1:8" ht="41.25">
      <c r="A86" s="178" t="s">
        <v>389</v>
      </c>
      <c r="B86" s="128" t="s">
        <v>349</v>
      </c>
      <c r="C86" s="144" t="s">
        <v>418</v>
      </c>
      <c r="D86" s="18" t="s">
        <v>418</v>
      </c>
      <c r="E86" s="113" t="s">
        <v>253</v>
      </c>
      <c r="F86" s="17" t="s">
        <v>255</v>
      </c>
      <c r="G86" s="18">
        <v>2</v>
      </c>
      <c r="H86" s="7" t="s">
        <v>279</v>
      </c>
    </row>
    <row r="87" spans="1:8" ht="41.25">
      <c r="A87" s="179"/>
      <c r="B87" s="128" t="s">
        <v>349</v>
      </c>
      <c r="C87" s="18" t="s">
        <v>418</v>
      </c>
      <c r="D87" s="18" t="s">
        <v>418</v>
      </c>
      <c r="E87" s="17" t="s">
        <v>261</v>
      </c>
      <c r="F87" s="17" t="s">
        <v>263</v>
      </c>
      <c r="G87" s="18">
        <v>2</v>
      </c>
      <c r="H87" s="7" t="s">
        <v>279</v>
      </c>
    </row>
    <row r="88" spans="1:8" ht="54.75">
      <c r="A88" s="179"/>
      <c r="B88" s="136" t="s">
        <v>48</v>
      </c>
      <c r="C88" s="18" t="s">
        <v>418</v>
      </c>
      <c r="D88" s="18" t="s">
        <v>419</v>
      </c>
      <c r="E88" s="17" t="s">
        <v>61</v>
      </c>
      <c r="F88" s="17" t="s">
        <v>63</v>
      </c>
      <c r="G88" s="18">
        <v>3</v>
      </c>
      <c r="H88" s="7" t="s">
        <v>279</v>
      </c>
    </row>
    <row r="89" spans="1:8" ht="41.25">
      <c r="A89" s="142"/>
      <c r="B89" s="137"/>
      <c r="C89" s="18" t="s">
        <v>419</v>
      </c>
      <c r="D89" s="18" t="s">
        <v>419</v>
      </c>
      <c r="E89" s="38" t="s">
        <v>65</v>
      </c>
      <c r="F89" s="38" t="s">
        <v>67</v>
      </c>
      <c r="G89" s="19">
        <v>2</v>
      </c>
      <c r="H89" s="143" t="s">
        <v>279</v>
      </c>
    </row>
    <row r="90" spans="1:8" ht="54.75">
      <c r="A90" s="142"/>
      <c r="B90" s="39" t="s">
        <v>137</v>
      </c>
      <c r="C90" s="18" t="s">
        <v>419</v>
      </c>
      <c r="D90" s="30" t="s">
        <v>420</v>
      </c>
      <c r="E90" s="17" t="s">
        <v>138</v>
      </c>
      <c r="F90" s="21" t="s">
        <v>140</v>
      </c>
      <c r="G90" s="18">
        <v>13</v>
      </c>
      <c r="H90" s="7" t="s">
        <v>279</v>
      </c>
    </row>
    <row r="91" spans="1:8">
      <c r="A91" s="49"/>
      <c r="B91" s="25"/>
      <c r="C91" s="25"/>
      <c r="D91" s="25"/>
      <c r="E91" s="25"/>
      <c r="F91" s="26" t="s">
        <v>395</v>
      </c>
      <c r="G91" s="26">
        <f>G86+G87+G88+G89+G90</f>
        <v>22</v>
      </c>
      <c r="H91" s="27"/>
    </row>
    <row r="95" spans="1:8">
      <c r="D95" s="58"/>
    </row>
  </sheetData>
  <mergeCells count="17">
    <mergeCell ref="B54:B56"/>
    <mergeCell ref="A53:A58"/>
    <mergeCell ref="A77:A82"/>
    <mergeCell ref="A86:A88"/>
    <mergeCell ref="B62:B63"/>
    <mergeCell ref="A62:A67"/>
    <mergeCell ref="A71:A73"/>
    <mergeCell ref="A45:A49"/>
    <mergeCell ref="A2:A6"/>
    <mergeCell ref="A10:A14"/>
    <mergeCell ref="B10:B11"/>
    <mergeCell ref="B12:B13"/>
    <mergeCell ref="A18:A23"/>
    <mergeCell ref="B20:B22"/>
    <mergeCell ref="B40:B41"/>
    <mergeCell ref="A37:A41"/>
    <mergeCell ref="A27:A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8"/>
  <sheetViews>
    <sheetView topLeftCell="A77" zoomScale="85" zoomScaleNormal="85" workbookViewId="0">
      <selection activeCell="A78" sqref="A78:G89"/>
    </sheetView>
  </sheetViews>
  <sheetFormatPr defaultColWidth="9.140625" defaultRowHeight="15"/>
  <cols>
    <col min="1" max="1" width="6.28515625" style="5" bestFit="1" customWidth="1"/>
    <col min="2" max="2" width="39.85546875" style="5" customWidth="1"/>
    <col min="3" max="3" width="89.42578125" style="5" customWidth="1"/>
    <col min="4" max="4" width="12.42578125" style="10" bestFit="1" customWidth="1"/>
    <col min="5" max="5" width="16" style="10" bestFit="1" customWidth="1"/>
    <col min="6" max="6" width="30" style="4" customWidth="1"/>
    <col min="7" max="7" width="13" style="4" bestFit="1" customWidth="1"/>
    <col min="8" max="8" width="3.28515625" style="5" bestFit="1" customWidth="1"/>
    <col min="9" max="16384" width="9.140625" style="5"/>
  </cols>
  <sheetData>
    <row r="1" spans="1:7">
      <c r="A1" s="194" t="s">
        <v>421</v>
      </c>
      <c r="B1" s="195"/>
      <c r="C1" s="195"/>
      <c r="D1" s="195"/>
      <c r="E1" s="195"/>
      <c r="F1" s="195"/>
      <c r="G1" s="196"/>
    </row>
    <row r="2" spans="1:7">
      <c r="A2" s="64" t="s">
        <v>1</v>
      </c>
      <c r="B2" s="23" t="s">
        <v>422</v>
      </c>
      <c r="C2" s="23" t="s">
        <v>423</v>
      </c>
      <c r="D2" s="23" t="s">
        <v>424</v>
      </c>
      <c r="E2" s="23" t="s">
        <v>425</v>
      </c>
      <c r="F2" s="23" t="s">
        <v>426</v>
      </c>
      <c r="G2" s="65" t="s">
        <v>427</v>
      </c>
    </row>
    <row r="3" spans="1:7">
      <c r="A3" s="197" t="s">
        <v>6</v>
      </c>
      <c r="B3" s="199" t="s">
        <v>7</v>
      </c>
      <c r="C3" s="17" t="s">
        <v>428</v>
      </c>
      <c r="D3" s="17" t="s">
        <v>429</v>
      </c>
      <c r="E3" s="18">
        <v>3</v>
      </c>
      <c r="F3" s="177" t="s">
        <v>430</v>
      </c>
      <c r="G3" s="192">
        <f>'Sprint Backlog - Antiguo'!G2*4</f>
        <v>20</v>
      </c>
    </row>
    <row r="4" spans="1:7">
      <c r="A4" s="197"/>
      <c r="B4" s="177"/>
      <c r="C4" s="17" t="s">
        <v>431</v>
      </c>
      <c r="D4" s="17" t="s">
        <v>432</v>
      </c>
      <c r="E4" s="18">
        <v>6</v>
      </c>
      <c r="F4" s="177"/>
      <c r="G4" s="192"/>
    </row>
    <row r="5" spans="1:7">
      <c r="A5" s="197"/>
      <c r="B5" s="177"/>
      <c r="C5" s="17" t="s">
        <v>433</v>
      </c>
      <c r="D5" s="17" t="s">
        <v>434</v>
      </c>
      <c r="E5" s="18">
        <v>8</v>
      </c>
      <c r="F5" s="177"/>
      <c r="G5" s="192"/>
    </row>
    <row r="6" spans="1:7">
      <c r="A6" s="197"/>
      <c r="B6" s="177"/>
      <c r="C6" s="17" t="s">
        <v>435</v>
      </c>
      <c r="D6" s="17" t="s">
        <v>436</v>
      </c>
      <c r="E6" s="18">
        <v>2</v>
      </c>
      <c r="F6" s="177"/>
      <c r="G6" s="192"/>
    </row>
    <row r="7" spans="1:7">
      <c r="A7" s="197"/>
      <c r="B7" s="177"/>
      <c r="C7" s="17" t="s">
        <v>437</v>
      </c>
      <c r="D7" s="17" t="s">
        <v>438</v>
      </c>
      <c r="E7" s="18">
        <v>1</v>
      </c>
      <c r="F7" s="177"/>
      <c r="G7" s="192"/>
    </row>
    <row r="8" spans="1:7">
      <c r="A8" s="197" t="s">
        <v>12</v>
      </c>
      <c r="B8" s="177" t="s">
        <v>439</v>
      </c>
      <c r="C8" s="23" t="s">
        <v>423</v>
      </c>
      <c r="D8" s="23" t="s">
        <v>424</v>
      </c>
      <c r="E8" s="23" t="s">
        <v>425</v>
      </c>
      <c r="F8" s="23" t="s">
        <v>426</v>
      </c>
      <c r="G8" s="65" t="s">
        <v>427</v>
      </c>
    </row>
    <row r="9" spans="1:7">
      <c r="A9" s="197"/>
      <c r="B9" s="177"/>
      <c r="C9" s="53" t="s">
        <v>440</v>
      </c>
      <c r="D9" s="17" t="s">
        <v>429</v>
      </c>
      <c r="E9" s="18">
        <v>4</v>
      </c>
      <c r="F9" s="177" t="s">
        <v>441</v>
      </c>
      <c r="G9" s="192">
        <f>'Sprint Backlog - Antiguo'!G3*4</f>
        <v>8</v>
      </c>
    </row>
    <row r="10" spans="1:7" ht="27.75">
      <c r="A10" s="197"/>
      <c r="B10" s="177"/>
      <c r="C10" s="57" t="s">
        <v>442</v>
      </c>
      <c r="D10" s="17" t="s">
        <v>432</v>
      </c>
      <c r="E10" s="18">
        <v>6</v>
      </c>
      <c r="F10" s="177"/>
      <c r="G10" s="192"/>
    </row>
    <row r="11" spans="1:7">
      <c r="A11" s="197"/>
      <c r="B11" s="177"/>
      <c r="C11" s="17"/>
      <c r="D11" s="17" t="s">
        <v>434</v>
      </c>
      <c r="E11" s="18"/>
      <c r="F11" s="177"/>
      <c r="G11" s="192"/>
    </row>
    <row r="12" spans="1:7">
      <c r="A12" s="197"/>
      <c r="B12" s="177"/>
      <c r="C12" s="53" t="s">
        <v>443</v>
      </c>
      <c r="D12" s="17" t="s">
        <v>436</v>
      </c>
      <c r="E12" s="18">
        <v>1</v>
      </c>
      <c r="F12" s="177"/>
      <c r="G12" s="192"/>
    </row>
    <row r="13" spans="1:7">
      <c r="A13" s="197"/>
      <c r="B13" s="177"/>
      <c r="C13" s="53" t="s">
        <v>444</v>
      </c>
      <c r="D13" s="17" t="s">
        <v>438</v>
      </c>
      <c r="E13" s="18">
        <v>1</v>
      </c>
      <c r="F13" s="177"/>
      <c r="G13" s="192"/>
    </row>
    <row r="14" spans="1:7">
      <c r="A14" s="197" t="s">
        <v>16</v>
      </c>
      <c r="B14" s="177" t="s">
        <v>445</v>
      </c>
      <c r="C14" s="23" t="s">
        <v>423</v>
      </c>
      <c r="D14" s="23" t="s">
        <v>424</v>
      </c>
      <c r="E14" s="23" t="s">
        <v>425</v>
      </c>
      <c r="F14" s="23" t="s">
        <v>426</v>
      </c>
      <c r="G14" s="65" t="s">
        <v>427</v>
      </c>
    </row>
    <row r="15" spans="1:7">
      <c r="A15" s="197"/>
      <c r="B15" s="177"/>
      <c r="C15" s="53" t="s">
        <v>446</v>
      </c>
      <c r="D15" s="17" t="s">
        <v>429</v>
      </c>
      <c r="E15" s="18">
        <v>2</v>
      </c>
      <c r="F15" s="177" t="s">
        <v>447</v>
      </c>
      <c r="G15" s="192">
        <f>'Sprint Backlog - Antiguo'!G4*4</f>
        <v>20</v>
      </c>
    </row>
    <row r="16" spans="1:7">
      <c r="A16" s="197"/>
      <c r="B16" s="177"/>
      <c r="C16" s="53" t="s">
        <v>448</v>
      </c>
      <c r="D16" s="17" t="s">
        <v>432</v>
      </c>
      <c r="E16" s="18">
        <v>3</v>
      </c>
      <c r="F16" s="177"/>
      <c r="G16" s="192"/>
    </row>
    <row r="17" spans="1:7">
      <c r="A17" s="197"/>
      <c r="B17" s="177"/>
      <c r="C17" s="53" t="s">
        <v>449</v>
      </c>
      <c r="D17" s="17" t="s">
        <v>434</v>
      </c>
      <c r="E17" s="18">
        <v>5</v>
      </c>
      <c r="F17" s="177"/>
      <c r="G17" s="192"/>
    </row>
    <row r="18" spans="1:7">
      <c r="A18" s="197"/>
      <c r="B18" s="177"/>
      <c r="C18" s="53" t="s">
        <v>450</v>
      </c>
      <c r="D18" s="17" t="s">
        <v>436</v>
      </c>
      <c r="E18" s="18">
        <v>1</v>
      </c>
      <c r="F18" s="177"/>
      <c r="G18" s="192"/>
    </row>
    <row r="19" spans="1:7">
      <c r="A19" s="197"/>
      <c r="B19" s="177"/>
      <c r="C19" s="53" t="s">
        <v>451</v>
      </c>
      <c r="D19" s="17" t="s">
        <v>438</v>
      </c>
      <c r="E19" s="18">
        <v>1</v>
      </c>
      <c r="F19" s="177"/>
      <c r="G19" s="192"/>
    </row>
    <row r="20" spans="1:7">
      <c r="A20" s="197" t="s">
        <v>20</v>
      </c>
      <c r="B20" s="177" t="s">
        <v>21</v>
      </c>
      <c r="C20" s="23" t="s">
        <v>423</v>
      </c>
      <c r="D20" s="23" t="s">
        <v>424</v>
      </c>
      <c r="E20" s="23" t="s">
        <v>425</v>
      </c>
      <c r="F20" s="23" t="s">
        <v>426</v>
      </c>
      <c r="G20" s="65" t="s">
        <v>427</v>
      </c>
    </row>
    <row r="21" spans="1:7">
      <c r="A21" s="197"/>
      <c r="B21" s="177"/>
      <c r="C21" s="17" t="s">
        <v>452</v>
      </c>
      <c r="D21" s="17" t="s">
        <v>429</v>
      </c>
      <c r="E21" s="18">
        <v>2</v>
      </c>
      <c r="F21" s="177" t="s">
        <v>453</v>
      </c>
      <c r="G21" s="192">
        <f>'Sprint Backlog - Antiguo'!G5*4</f>
        <v>20</v>
      </c>
    </row>
    <row r="22" spans="1:7">
      <c r="A22" s="197"/>
      <c r="B22" s="177"/>
      <c r="C22" s="53" t="s">
        <v>454</v>
      </c>
      <c r="D22" s="55" t="s">
        <v>432</v>
      </c>
      <c r="E22" s="18">
        <v>6</v>
      </c>
      <c r="F22" s="177"/>
      <c r="G22" s="192"/>
    </row>
    <row r="23" spans="1:7">
      <c r="A23" s="197"/>
      <c r="B23" s="177"/>
      <c r="C23" s="53" t="s">
        <v>455</v>
      </c>
      <c r="D23" s="17" t="s">
        <v>434</v>
      </c>
      <c r="E23" s="18">
        <v>8</v>
      </c>
      <c r="F23" s="177"/>
      <c r="G23" s="192"/>
    </row>
    <row r="24" spans="1:7">
      <c r="A24" s="197"/>
      <c r="B24" s="177"/>
      <c r="C24" s="53" t="s">
        <v>456</v>
      </c>
      <c r="D24" s="17" t="s">
        <v>436</v>
      </c>
      <c r="E24" s="18">
        <v>3</v>
      </c>
      <c r="F24" s="177"/>
      <c r="G24" s="192"/>
    </row>
    <row r="25" spans="1:7">
      <c r="A25" s="197"/>
      <c r="B25" s="177"/>
      <c r="C25" s="17" t="s">
        <v>457</v>
      </c>
      <c r="D25" s="17" t="s">
        <v>438</v>
      </c>
      <c r="E25" s="18">
        <v>1</v>
      </c>
      <c r="F25" s="177"/>
      <c r="G25" s="192"/>
    </row>
    <row r="26" spans="1:7">
      <c r="A26" s="197" t="s">
        <v>25</v>
      </c>
      <c r="B26" s="199" t="s">
        <v>26</v>
      </c>
      <c r="C26" s="23" t="s">
        <v>423</v>
      </c>
      <c r="D26" s="23" t="s">
        <v>424</v>
      </c>
      <c r="E26" s="23" t="s">
        <v>425</v>
      </c>
      <c r="F26" s="23" t="s">
        <v>426</v>
      </c>
      <c r="G26" s="65" t="s">
        <v>427</v>
      </c>
    </row>
    <row r="27" spans="1:7">
      <c r="A27" s="197"/>
      <c r="B27" s="199"/>
      <c r="C27" s="38" t="s">
        <v>458</v>
      </c>
      <c r="D27" s="17" t="s">
        <v>429</v>
      </c>
      <c r="E27" s="18">
        <v>1</v>
      </c>
      <c r="F27" s="177" t="s">
        <v>459</v>
      </c>
      <c r="G27" s="192">
        <f>'Sprint Backlog - Antiguo'!G6*4</f>
        <v>8</v>
      </c>
    </row>
    <row r="28" spans="1:7">
      <c r="A28" s="197"/>
      <c r="B28" s="202"/>
      <c r="C28" s="17" t="s">
        <v>460</v>
      </c>
      <c r="D28" s="113" t="s">
        <v>432</v>
      </c>
      <c r="E28" s="18">
        <v>2</v>
      </c>
      <c r="F28" s="177"/>
      <c r="G28" s="192"/>
    </row>
    <row r="29" spans="1:7">
      <c r="A29" s="197"/>
      <c r="B29" s="202"/>
      <c r="C29" s="17" t="s">
        <v>461</v>
      </c>
      <c r="D29" s="113" t="s">
        <v>434</v>
      </c>
      <c r="E29" s="18">
        <v>3</v>
      </c>
      <c r="F29" s="177"/>
      <c r="G29" s="192"/>
    </row>
    <row r="30" spans="1:7">
      <c r="A30" s="197"/>
      <c r="B30" s="199"/>
      <c r="C30" s="114" t="s">
        <v>462</v>
      </c>
      <c r="D30" s="17" t="s">
        <v>436</v>
      </c>
      <c r="E30" s="18">
        <v>1</v>
      </c>
      <c r="F30" s="177"/>
      <c r="G30" s="192"/>
    </row>
    <row r="31" spans="1:7">
      <c r="A31" s="198"/>
      <c r="B31" s="200"/>
      <c r="C31" s="67" t="s">
        <v>463</v>
      </c>
      <c r="D31" s="67" t="s">
        <v>438</v>
      </c>
      <c r="E31" s="66">
        <v>1</v>
      </c>
      <c r="F31" s="201"/>
      <c r="G31" s="193"/>
    </row>
    <row r="32" spans="1:7">
      <c r="A32" s="31"/>
      <c r="B32" s="31"/>
      <c r="C32" s="4"/>
      <c r="D32" s="4"/>
      <c r="E32" s="31"/>
      <c r="F32" s="31"/>
      <c r="G32" s="31"/>
    </row>
    <row r="33" spans="1:7">
      <c r="A33" s="194" t="s">
        <v>464</v>
      </c>
      <c r="B33" s="195"/>
      <c r="C33" s="195"/>
      <c r="D33" s="195"/>
      <c r="E33" s="195"/>
      <c r="F33" s="195"/>
      <c r="G33" s="196"/>
    </row>
    <row r="34" spans="1:7">
      <c r="A34" s="64" t="s">
        <v>1</v>
      </c>
      <c r="B34" s="23" t="s">
        <v>422</v>
      </c>
      <c r="C34" s="23" t="s">
        <v>423</v>
      </c>
      <c r="D34" s="23" t="s">
        <v>424</v>
      </c>
      <c r="E34" s="23" t="s">
        <v>425</v>
      </c>
      <c r="F34" s="23" t="s">
        <v>426</v>
      </c>
      <c r="G34" s="65" t="s">
        <v>427</v>
      </c>
    </row>
    <row r="35" spans="1:7">
      <c r="A35" s="197" t="s">
        <v>30</v>
      </c>
      <c r="B35" s="177" t="s">
        <v>31</v>
      </c>
      <c r="C35" s="17" t="s">
        <v>465</v>
      </c>
      <c r="D35" s="17" t="s">
        <v>429</v>
      </c>
      <c r="E35" s="18">
        <v>3</v>
      </c>
      <c r="F35" s="177" t="s">
        <v>466</v>
      </c>
      <c r="G35" s="192">
        <f>'Sprint Backlog - Antiguo'!G10*4</f>
        <v>12</v>
      </c>
    </row>
    <row r="36" spans="1:7">
      <c r="A36" s="197"/>
      <c r="B36" s="177"/>
      <c r="C36" s="53" t="s">
        <v>467</v>
      </c>
      <c r="D36" s="17" t="s">
        <v>432</v>
      </c>
      <c r="E36" s="18">
        <v>3</v>
      </c>
      <c r="F36" s="177"/>
      <c r="G36" s="192"/>
    </row>
    <row r="37" spans="1:7">
      <c r="A37" s="197"/>
      <c r="B37" s="177"/>
      <c r="C37" s="17" t="s">
        <v>468</v>
      </c>
      <c r="D37" s="17" t="s">
        <v>434</v>
      </c>
      <c r="E37" s="18">
        <v>3</v>
      </c>
      <c r="F37" s="177"/>
      <c r="G37" s="192"/>
    </row>
    <row r="38" spans="1:7">
      <c r="A38" s="197"/>
      <c r="B38" s="177"/>
      <c r="C38" s="17" t="s">
        <v>469</v>
      </c>
      <c r="D38" s="17" t="s">
        <v>436</v>
      </c>
      <c r="E38" s="18">
        <v>2</v>
      </c>
      <c r="F38" s="177"/>
      <c r="G38" s="192"/>
    </row>
    <row r="39" spans="1:7">
      <c r="A39" s="197"/>
      <c r="B39" s="177"/>
      <c r="C39" s="17" t="s">
        <v>470</v>
      </c>
      <c r="D39" s="17" t="s">
        <v>438</v>
      </c>
      <c r="E39" s="18">
        <v>1</v>
      </c>
      <c r="F39" s="177"/>
      <c r="G39" s="192"/>
    </row>
    <row r="40" spans="1:7">
      <c r="A40" s="197" t="s">
        <v>35</v>
      </c>
      <c r="B40" s="177" t="s">
        <v>36</v>
      </c>
      <c r="C40" s="23" t="s">
        <v>423</v>
      </c>
      <c r="D40" s="23" t="s">
        <v>424</v>
      </c>
      <c r="E40" s="23" t="s">
        <v>425</v>
      </c>
      <c r="F40" s="23" t="s">
        <v>426</v>
      </c>
      <c r="G40" s="65" t="s">
        <v>427</v>
      </c>
    </row>
    <row r="41" spans="1:7">
      <c r="A41" s="197"/>
      <c r="B41" s="177"/>
      <c r="C41" s="17" t="s">
        <v>471</v>
      </c>
      <c r="D41" s="17" t="s">
        <v>429</v>
      </c>
      <c r="E41" s="18">
        <v>2</v>
      </c>
      <c r="F41" s="177" t="s">
        <v>472</v>
      </c>
      <c r="G41" s="192">
        <f>'Sprint Backlog - Antiguo'!G11*4</f>
        <v>20</v>
      </c>
    </row>
    <row r="42" spans="1:7">
      <c r="A42" s="197"/>
      <c r="B42" s="177"/>
      <c r="C42" s="17" t="s">
        <v>473</v>
      </c>
      <c r="D42" s="17" t="s">
        <v>432</v>
      </c>
      <c r="E42" s="18">
        <v>5</v>
      </c>
      <c r="F42" s="177"/>
      <c r="G42" s="192"/>
    </row>
    <row r="43" spans="1:7">
      <c r="A43" s="197"/>
      <c r="B43" s="177"/>
      <c r="C43" s="17" t="s">
        <v>474</v>
      </c>
      <c r="D43" s="17" t="s">
        <v>434</v>
      </c>
      <c r="E43" s="18">
        <v>9</v>
      </c>
      <c r="F43" s="177"/>
      <c r="G43" s="192"/>
    </row>
    <row r="44" spans="1:7">
      <c r="A44" s="197"/>
      <c r="B44" s="177"/>
      <c r="C44" s="17" t="s">
        <v>475</v>
      </c>
      <c r="D44" s="17" t="s">
        <v>436</v>
      </c>
      <c r="E44" s="18">
        <v>3</v>
      </c>
      <c r="F44" s="177"/>
      <c r="G44" s="192"/>
    </row>
    <row r="45" spans="1:7">
      <c r="A45" s="197"/>
      <c r="B45" s="177"/>
      <c r="C45" s="17" t="s">
        <v>476</v>
      </c>
      <c r="D45" s="17" t="s">
        <v>438</v>
      </c>
      <c r="E45" s="18">
        <v>1</v>
      </c>
      <c r="F45" s="177"/>
      <c r="G45" s="192"/>
    </row>
    <row r="46" spans="1:7">
      <c r="A46" s="197" t="s">
        <v>39</v>
      </c>
      <c r="B46" s="177" t="s">
        <v>40</v>
      </c>
      <c r="C46" s="23" t="s">
        <v>423</v>
      </c>
      <c r="D46" s="23" t="s">
        <v>424</v>
      </c>
      <c r="E46" s="23" t="s">
        <v>425</v>
      </c>
      <c r="F46" s="23" t="s">
        <v>426</v>
      </c>
      <c r="G46" s="65" t="s">
        <v>427</v>
      </c>
    </row>
    <row r="47" spans="1:7">
      <c r="A47" s="197"/>
      <c r="B47" s="177"/>
      <c r="C47" s="17" t="s">
        <v>477</v>
      </c>
      <c r="D47" s="17" t="s">
        <v>429</v>
      </c>
      <c r="E47" s="18">
        <v>3</v>
      </c>
      <c r="F47" s="177" t="s">
        <v>478</v>
      </c>
      <c r="G47" s="192">
        <f>'Sprint Backlog - Antiguo'!G12*4</f>
        <v>20</v>
      </c>
    </row>
    <row r="48" spans="1:7">
      <c r="A48" s="197"/>
      <c r="B48" s="177"/>
      <c r="C48" s="17" t="s">
        <v>479</v>
      </c>
      <c r="D48" s="17" t="s">
        <v>432</v>
      </c>
      <c r="E48" s="18">
        <v>8</v>
      </c>
      <c r="F48" s="177"/>
      <c r="G48" s="192"/>
    </row>
    <row r="49" spans="1:7">
      <c r="A49" s="197"/>
      <c r="B49" s="177"/>
      <c r="C49" s="17" t="s">
        <v>480</v>
      </c>
      <c r="D49" s="17" t="s">
        <v>434</v>
      </c>
      <c r="E49" s="18">
        <v>5</v>
      </c>
      <c r="F49" s="177"/>
      <c r="G49" s="192"/>
    </row>
    <row r="50" spans="1:7">
      <c r="A50" s="197"/>
      <c r="B50" s="177"/>
      <c r="C50" s="17" t="s">
        <v>481</v>
      </c>
      <c r="D50" s="17" t="s">
        <v>436</v>
      </c>
      <c r="E50" s="18">
        <v>3</v>
      </c>
      <c r="F50" s="177"/>
      <c r="G50" s="192"/>
    </row>
    <row r="51" spans="1:7">
      <c r="A51" s="197"/>
      <c r="B51" s="177"/>
      <c r="C51" s="17" t="s">
        <v>482</v>
      </c>
      <c r="D51" s="17" t="s">
        <v>438</v>
      </c>
      <c r="E51" s="18">
        <v>1</v>
      </c>
      <c r="F51" s="177"/>
      <c r="G51" s="192"/>
    </row>
    <row r="52" spans="1:7">
      <c r="A52" s="197" t="s">
        <v>44</v>
      </c>
      <c r="B52" s="199" t="s">
        <v>45</v>
      </c>
      <c r="C52" s="23" t="s">
        <v>423</v>
      </c>
      <c r="D52" s="23" t="s">
        <v>424</v>
      </c>
      <c r="E52" s="23" t="s">
        <v>425</v>
      </c>
      <c r="F52" s="23" t="s">
        <v>426</v>
      </c>
      <c r="G52" s="65" t="s">
        <v>427</v>
      </c>
    </row>
    <row r="53" spans="1:7">
      <c r="A53" s="197"/>
      <c r="B53" s="199"/>
      <c r="C53" s="17" t="s">
        <v>483</v>
      </c>
      <c r="D53" s="17" t="s">
        <v>429</v>
      </c>
      <c r="E53" s="18">
        <v>2</v>
      </c>
      <c r="F53" s="177" t="s">
        <v>484</v>
      </c>
      <c r="G53" s="192">
        <f>'Sprint Backlog - Antiguo'!G13*4</f>
        <v>8</v>
      </c>
    </row>
    <row r="54" spans="1:7">
      <c r="A54" s="197"/>
      <c r="B54" s="199"/>
      <c r="C54" s="17" t="s">
        <v>485</v>
      </c>
      <c r="D54" s="17" t="s">
        <v>432</v>
      </c>
      <c r="E54" s="18">
        <v>4</v>
      </c>
      <c r="F54" s="177"/>
      <c r="G54" s="192"/>
    </row>
    <row r="55" spans="1:7">
      <c r="A55" s="197"/>
      <c r="B55" s="199"/>
      <c r="C55" s="17"/>
      <c r="D55" s="17" t="s">
        <v>434</v>
      </c>
      <c r="E55" s="18"/>
      <c r="F55" s="177"/>
      <c r="G55" s="192"/>
    </row>
    <row r="56" spans="1:7">
      <c r="A56" s="197"/>
      <c r="B56" s="199"/>
      <c r="C56" s="17" t="s">
        <v>486</v>
      </c>
      <c r="D56" s="17" t="s">
        <v>436</v>
      </c>
      <c r="E56" s="18">
        <v>1</v>
      </c>
      <c r="F56" s="177"/>
      <c r="G56" s="192"/>
    </row>
    <row r="57" spans="1:7">
      <c r="A57" s="197"/>
      <c r="B57" s="199"/>
      <c r="C57" s="35" t="s">
        <v>45</v>
      </c>
      <c r="D57" s="17" t="s">
        <v>438</v>
      </c>
      <c r="E57" s="18">
        <v>1</v>
      </c>
      <c r="F57" s="177"/>
      <c r="G57" s="192"/>
    </row>
    <row r="58" spans="1:7">
      <c r="A58" s="197" t="s">
        <v>49</v>
      </c>
      <c r="B58" s="177" t="s">
        <v>50</v>
      </c>
      <c r="C58" s="23" t="s">
        <v>423</v>
      </c>
      <c r="D58" s="23" t="s">
        <v>424</v>
      </c>
      <c r="E58" s="23" t="s">
        <v>425</v>
      </c>
      <c r="F58" s="23" t="s">
        <v>426</v>
      </c>
      <c r="G58" s="65" t="s">
        <v>427</v>
      </c>
    </row>
    <row r="59" spans="1:7">
      <c r="A59" s="197"/>
      <c r="B59" s="177"/>
      <c r="C59" s="17" t="s">
        <v>487</v>
      </c>
      <c r="D59" s="17" t="s">
        <v>429</v>
      </c>
      <c r="E59" s="18">
        <v>4</v>
      </c>
      <c r="F59" s="177" t="s">
        <v>488</v>
      </c>
      <c r="G59" s="192">
        <f>'Sprint Backlog - Antiguo'!G14*4</f>
        <v>32</v>
      </c>
    </row>
    <row r="60" spans="1:7">
      <c r="A60" s="197"/>
      <c r="B60" s="177"/>
      <c r="C60" s="17" t="s">
        <v>489</v>
      </c>
      <c r="D60" s="17" t="s">
        <v>432</v>
      </c>
      <c r="E60" s="18">
        <v>10</v>
      </c>
      <c r="F60" s="177"/>
      <c r="G60" s="192"/>
    </row>
    <row r="61" spans="1:7">
      <c r="A61" s="197"/>
      <c r="B61" s="177"/>
      <c r="C61" s="17" t="s">
        <v>490</v>
      </c>
      <c r="D61" s="17" t="s">
        <v>434</v>
      </c>
      <c r="E61" s="18">
        <v>15</v>
      </c>
      <c r="F61" s="177"/>
      <c r="G61" s="192"/>
    </row>
    <row r="62" spans="1:7">
      <c r="A62" s="197"/>
      <c r="B62" s="177"/>
      <c r="C62" s="17" t="s">
        <v>491</v>
      </c>
      <c r="D62" s="17" t="s">
        <v>436</v>
      </c>
      <c r="E62" s="18">
        <v>2</v>
      </c>
      <c r="F62" s="177"/>
      <c r="G62" s="192"/>
    </row>
    <row r="63" spans="1:7">
      <c r="A63" s="198"/>
      <c r="B63" s="201"/>
      <c r="C63" s="67" t="s">
        <v>492</v>
      </c>
      <c r="D63" s="67" t="s">
        <v>438</v>
      </c>
      <c r="E63" s="66">
        <v>1</v>
      </c>
      <c r="F63" s="201"/>
      <c r="G63" s="193"/>
    </row>
    <row r="65" spans="1:7">
      <c r="A65" s="194" t="s">
        <v>493</v>
      </c>
      <c r="B65" s="195"/>
      <c r="C65" s="195"/>
      <c r="D65" s="195"/>
      <c r="E65" s="195"/>
      <c r="F65" s="195"/>
      <c r="G65" s="196"/>
    </row>
    <row r="66" spans="1:7">
      <c r="A66" s="64" t="s">
        <v>1</v>
      </c>
      <c r="B66" s="23" t="s">
        <v>422</v>
      </c>
      <c r="C66" s="23" t="s">
        <v>423</v>
      </c>
      <c r="D66" s="23" t="s">
        <v>424</v>
      </c>
      <c r="E66" s="23" t="s">
        <v>425</v>
      </c>
      <c r="F66" s="23" t="s">
        <v>426</v>
      </c>
      <c r="G66" s="65" t="s">
        <v>427</v>
      </c>
    </row>
    <row r="67" spans="1:7">
      <c r="A67" s="197" t="s">
        <v>53</v>
      </c>
      <c r="B67" s="177" t="s">
        <v>54</v>
      </c>
      <c r="C67" s="17" t="s">
        <v>494</v>
      </c>
      <c r="D67" s="17" t="s">
        <v>429</v>
      </c>
      <c r="E67" s="18">
        <v>1</v>
      </c>
      <c r="F67" s="177" t="s">
        <v>495</v>
      </c>
      <c r="G67" s="192">
        <f>'Sprint Backlog - Antiguo'!G18*4</f>
        <v>8</v>
      </c>
    </row>
    <row r="68" spans="1:7">
      <c r="A68" s="197"/>
      <c r="B68" s="177"/>
      <c r="C68" s="17" t="s">
        <v>496</v>
      </c>
      <c r="D68" s="17" t="s">
        <v>432</v>
      </c>
      <c r="E68" s="18">
        <v>3</v>
      </c>
      <c r="F68" s="177"/>
      <c r="G68" s="192"/>
    </row>
    <row r="69" spans="1:7">
      <c r="A69" s="197"/>
      <c r="B69" s="177"/>
      <c r="C69" s="17" t="s">
        <v>497</v>
      </c>
      <c r="D69" s="17" t="s">
        <v>434</v>
      </c>
      <c r="E69" s="18">
        <v>2</v>
      </c>
      <c r="F69" s="177"/>
      <c r="G69" s="192"/>
    </row>
    <row r="70" spans="1:7">
      <c r="A70" s="197"/>
      <c r="B70" s="177"/>
      <c r="C70" s="17" t="s">
        <v>498</v>
      </c>
      <c r="D70" s="17" t="s">
        <v>436</v>
      </c>
      <c r="E70" s="18">
        <v>1</v>
      </c>
      <c r="F70" s="177"/>
      <c r="G70" s="192"/>
    </row>
    <row r="71" spans="1:7">
      <c r="A71" s="197"/>
      <c r="B71" s="177"/>
      <c r="C71" s="17" t="s">
        <v>499</v>
      </c>
      <c r="D71" s="17" t="s">
        <v>438</v>
      </c>
      <c r="E71" s="18">
        <v>1</v>
      </c>
      <c r="F71" s="177"/>
      <c r="G71" s="192"/>
    </row>
    <row r="72" spans="1:7">
      <c r="A72" s="197" t="s">
        <v>57</v>
      </c>
      <c r="B72" s="199" t="s">
        <v>58</v>
      </c>
      <c r="C72" s="23" t="s">
        <v>423</v>
      </c>
      <c r="D72" s="23" t="s">
        <v>424</v>
      </c>
      <c r="E72" s="23" t="s">
        <v>425</v>
      </c>
      <c r="F72" s="23" t="s">
        <v>426</v>
      </c>
      <c r="G72" s="65" t="s">
        <v>427</v>
      </c>
    </row>
    <row r="73" spans="1:7">
      <c r="A73" s="197"/>
      <c r="B73" s="199"/>
      <c r="C73" s="17" t="s">
        <v>471</v>
      </c>
      <c r="D73" s="17" t="s">
        <v>429</v>
      </c>
      <c r="E73" s="18">
        <v>3</v>
      </c>
      <c r="F73" s="177" t="s">
        <v>500</v>
      </c>
      <c r="G73" s="192">
        <f>'Sprint Backlog - Antiguo'!G19*4</f>
        <v>32</v>
      </c>
    </row>
    <row r="74" spans="1:7">
      <c r="A74" s="197"/>
      <c r="B74" s="199"/>
      <c r="C74" s="17" t="s">
        <v>501</v>
      </c>
      <c r="D74" s="17" t="s">
        <v>432</v>
      </c>
      <c r="E74" s="18">
        <v>11</v>
      </c>
      <c r="F74" s="177"/>
      <c r="G74" s="192"/>
    </row>
    <row r="75" spans="1:7">
      <c r="A75" s="197"/>
      <c r="B75" s="199"/>
      <c r="C75" s="17"/>
      <c r="D75" s="17" t="s">
        <v>434</v>
      </c>
      <c r="E75" s="18"/>
      <c r="F75" s="177"/>
      <c r="G75" s="192"/>
    </row>
    <row r="76" spans="1:7">
      <c r="A76" s="197"/>
      <c r="B76" s="199"/>
      <c r="C76" s="17" t="s">
        <v>502</v>
      </c>
      <c r="D76" s="17" t="s">
        <v>436</v>
      </c>
      <c r="E76" s="18">
        <v>2</v>
      </c>
      <c r="F76" s="177"/>
      <c r="G76" s="192"/>
    </row>
    <row r="77" spans="1:7">
      <c r="A77" s="197"/>
      <c r="B77" s="199"/>
      <c r="C77" s="17" t="s">
        <v>476</v>
      </c>
      <c r="D77" s="17" t="s">
        <v>438</v>
      </c>
      <c r="E77" s="18">
        <v>1</v>
      </c>
      <c r="F77" s="177"/>
      <c r="G77" s="192"/>
    </row>
    <row r="78" spans="1:7">
      <c r="A78" s="197" t="s">
        <v>61</v>
      </c>
      <c r="B78" s="177" t="s">
        <v>62</v>
      </c>
      <c r="C78" s="23" t="s">
        <v>423</v>
      </c>
      <c r="D78" s="23" t="s">
        <v>424</v>
      </c>
      <c r="E78" s="23" t="s">
        <v>425</v>
      </c>
      <c r="F78" s="23" t="s">
        <v>426</v>
      </c>
      <c r="G78" s="65" t="s">
        <v>427</v>
      </c>
    </row>
    <row r="79" spans="1:7">
      <c r="A79" s="197"/>
      <c r="B79" s="177"/>
      <c r="C79" s="17" t="s">
        <v>503</v>
      </c>
      <c r="D79" s="17" t="s">
        <v>429</v>
      </c>
      <c r="E79" s="18">
        <v>1</v>
      </c>
      <c r="F79" s="177" t="s">
        <v>504</v>
      </c>
      <c r="G79" s="192">
        <f>'Sprint Backlog - Antiguo'!G20*4</f>
        <v>12</v>
      </c>
    </row>
    <row r="80" spans="1:7">
      <c r="A80" s="197"/>
      <c r="B80" s="177"/>
      <c r="C80" s="17" t="s">
        <v>505</v>
      </c>
      <c r="D80" s="17" t="s">
        <v>432</v>
      </c>
      <c r="E80" s="18">
        <v>4</v>
      </c>
      <c r="F80" s="177"/>
      <c r="G80" s="192"/>
    </row>
    <row r="81" spans="1:7">
      <c r="A81" s="197"/>
      <c r="B81" s="177"/>
      <c r="C81" s="53" t="s">
        <v>506</v>
      </c>
      <c r="D81" s="17" t="s">
        <v>434</v>
      </c>
      <c r="E81" s="18">
        <v>5</v>
      </c>
      <c r="F81" s="177"/>
      <c r="G81" s="192"/>
    </row>
    <row r="82" spans="1:7">
      <c r="A82" s="197"/>
      <c r="B82" s="177"/>
      <c r="C82" s="53" t="s">
        <v>507</v>
      </c>
      <c r="D82" s="17" t="s">
        <v>436</v>
      </c>
      <c r="E82" s="18">
        <v>1</v>
      </c>
      <c r="F82" s="177"/>
      <c r="G82" s="192"/>
    </row>
    <row r="83" spans="1:7">
      <c r="A83" s="197"/>
      <c r="B83" s="177"/>
      <c r="C83" s="17" t="s">
        <v>508</v>
      </c>
      <c r="D83" s="17" t="s">
        <v>438</v>
      </c>
      <c r="E83" s="18">
        <v>1</v>
      </c>
      <c r="F83" s="177"/>
      <c r="G83" s="192"/>
    </row>
    <row r="84" spans="1:7">
      <c r="A84" s="197" t="s">
        <v>65</v>
      </c>
      <c r="B84" s="177" t="s">
        <v>66</v>
      </c>
      <c r="C84" s="23" t="s">
        <v>423</v>
      </c>
      <c r="D84" s="23" t="s">
        <v>424</v>
      </c>
      <c r="E84" s="23" t="s">
        <v>425</v>
      </c>
      <c r="F84" s="23" t="s">
        <v>426</v>
      </c>
      <c r="G84" s="65" t="s">
        <v>427</v>
      </c>
    </row>
    <row r="85" spans="1:7">
      <c r="A85" s="197"/>
      <c r="B85" s="177"/>
      <c r="C85" s="17" t="s">
        <v>509</v>
      </c>
      <c r="D85" s="17" t="s">
        <v>429</v>
      </c>
      <c r="E85" s="18">
        <v>1</v>
      </c>
      <c r="F85" s="177" t="s">
        <v>510</v>
      </c>
      <c r="G85" s="192">
        <f>'Sprint Backlog - Antiguo'!G21*4</f>
        <v>8</v>
      </c>
    </row>
    <row r="86" spans="1:7">
      <c r="A86" s="197"/>
      <c r="B86" s="177"/>
      <c r="C86" s="17" t="s">
        <v>511</v>
      </c>
      <c r="D86" s="17" t="s">
        <v>432</v>
      </c>
      <c r="E86" s="18">
        <v>2</v>
      </c>
      <c r="F86" s="177"/>
      <c r="G86" s="192"/>
    </row>
    <row r="87" spans="1:7">
      <c r="A87" s="197"/>
      <c r="B87" s="177"/>
      <c r="C87" s="53" t="s">
        <v>512</v>
      </c>
      <c r="D87" s="17" t="s">
        <v>434</v>
      </c>
      <c r="E87" s="18">
        <v>3</v>
      </c>
      <c r="F87" s="177"/>
      <c r="G87" s="192"/>
    </row>
    <row r="88" spans="1:7">
      <c r="A88" s="197"/>
      <c r="B88" s="177"/>
      <c r="C88" s="53" t="s">
        <v>507</v>
      </c>
      <c r="D88" s="17" t="s">
        <v>436</v>
      </c>
      <c r="E88" s="18">
        <v>1</v>
      </c>
      <c r="F88" s="177"/>
      <c r="G88" s="192"/>
    </row>
    <row r="89" spans="1:7">
      <c r="A89" s="197"/>
      <c r="B89" s="177"/>
      <c r="C89" s="17" t="s">
        <v>508</v>
      </c>
      <c r="D89" s="17" t="s">
        <v>438</v>
      </c>
      <c r="E89" s="18">
        <v>1</v>
      </c>
      <c r="F89" s="177"/>
      <c r="G89" s="192"/>
    </row>
    <row r="90" spans="1:7">
      <c r="A90" s="197" t="s">
        <v>70</v>
      </c>
      <c r="B90" s="177" t="s">
        <v>71</v>
      </c>
      <c r="C90" s="23" t="s">
        <v>423</v>
      </c>
      <c r="D90" s="23" t="s">
        <v>424</v>
      </c>
      <c r="E90" s="23" t="s">
        <v>425</v>
      </c>
      <c r="F90" s="23" t="s">
        <v>426</v>
      </c>
      <c r="G90" s="65" t="s">
        <v>427</v>
      </c>
    </row>
    <row r="91" spans="1:7">
      <c r="A91" s="197"/>
      <c r="B91" s="177"/>
      <c r="C91" s="17" t="s">
        <v>513</v>
      </c>
      <c r="D91" s="17" t="s">
        <v>429</v>
      </c>
      <c r="E91" s="18">
        <v>2</v>
      </c>
      <c r="F91" s="177" t="s">
        <v>514</v>
      </c>
      <c r="G91" s="192">
        <f>'Sprint Backlog - Antiguo'!G22*4</f>
        <v>12</v>
      </c>
    </row>
    <row r="92" spans="1:7">
      <c r="A92" s="197"/>
      <c r="B92" s="177"/>
      <c r="C92" s="17" t="s">
        <v>515</v>
      </c>
      <c r="D92" s="17" t="s">
        <v>432</v>
      </c>
      <c r="E92" s="18">
        <v>6</v>
      </c>
      <c r="F92" s="177"/>
      <c r="G92" s="192"/>
    </row>
    <row r="93" spans="1:7">
      <c r="A93" s="197"/>
      <c r="B93" s="177"/>
      <c r="C93" s="53" t="s">
        <v>516</v>
      </c>
      <c r="D93" s="17" t="s">
        <v>434</v>
      </c>
      <c r="E93" s="18">
        <v>1</v>
      </c>
      <c r="F93" s="177"/>
      <c r="G93" s="192"/>
    </row>
    <row r="94" spans="1:7">
      <c r="A94" s="197"/>
      <c r="B94" s="177"/>
      <c r="C94" s="17" t="s">
        <v>517</v>
      </c>
      <c r="D94" s="17" t="s">
        <v>436</v>
      </c>
      <c r="E94" s="18">
        <v>2</v>
      </c>
      <c r="F94" s="177"/>
      <c r="G94" s="192"/>
    </row>
    <row r="95" spans="1:7">
      <c r="A95" s="197"/>
      <c r="B95" s="177"/>
      <c r="C95" s="17" t="s">
        <v>518</v>
      </c>
      <c r="D95" s="17" t="s">
        <v>438</v>
      </c>
      <c r="E95" s="18">
        <v>1</v>
      </c>
      <c r="F95" s="177"/>
      <c r="G95" s="192"/>
    </row>
    <row r="96" spans="1:7">
      <c r="A96" s="197" t="s">
        <v>74</v>
      </c>
      <c r="B96" s="177" t="s">
        <v>75</v>
      </c>
      <c r="C96" s="23" t="s">
        <v>423</v>
      </c>
      <c r="D96" s="23" t="s">
        <v>424</v>
      </c>
      <c r="E96" s="23" t="s">
        <v>425</v>
      </c>
      <c r="F96" s="23" t="s">
        <v>426</v>
      </c>
      <c r="G96" s="65" t="s">
        <v>427</v>
      </c>
    </row>
    <row r="97" spans="1:7">
      <c r="A97" s="197"/>
      <c r="B97" s="177"/>
      <c r="C97" s="17" t="s">
        <v>519</v>
      </c>
      <c r="D97" s="17" t="s">
        <v>429</v>
      </c>
      <c r="E97" s="18">
        <v>3</v>
      </c>
      <c r="F97" s="177" t="s">
        <v>520</v>
      </c>
      <c r="G97" s="192">
        <f>'Sprint Backlog - Antiguo'!G23*4</f>
        <v>20</v>
      </c>
    </row>
    <row r="98" spans="1:7">
      <c r="A98" s="197"/>
      <c r="B98" s="177"/>
      <c r="C98" s="17" t="s">
        <v>521</v>
      </c>
      <c r="D98" s="17" t="s">
        <v>432</v>
      </c>
      <c r="E98" s="18">
        <v>7</v>
      </c>
      <c r="F98" s="177"/>
      <c r="G98" s="192"/>
    </row>
    <row r="99" spans="1:7">
      <c r="A99" s="197"/>
      <c r="B99" s="177"/>
      <c r="C99" s="17" t="s">
        <v>522</v>
      </c>
      <c r="D99" s="17" t="s">
        <v>434</v>
      </c>
      <c r="E99" s="18">
        <v>7</v>
      </c>
      <c r="F99" s="177"/>
      <c r="G99" s="192"/>
    </row>
    <row r="100" spans="1:7">
      <c r="A100" s="197"/>
      <c r="B100" s="177"/>
      <c r="C100" s="17" t="s">
        <v>523</v>
      </c>
      <c r="D100" s="17" t="s">
        <v>436</v>
      </c>
      <c r="E100" s="18">
        <v>2</v>
      </c>
      <c r="F100" s="177"/>
      <c r="G100" s="192"/>
    </row>
    <row r="101" spans="1:7">
      <c r="A101" s="198"/>
      <c r="B101" s="201"/>
      <c r="C101" s="67" t="s">
        <v>524</v>
      </c>
      <c r="D101" s="67" t="s">
        <v>438</v>
      </c>
      <c r="E101" s="66">
        <v>1</v>
      </c>
      <c r="F101" s="201"/>
      <c r="G101" s="193"/>
    </row>
    <row r="103" spans="1:7">
      <c r="A103" s="194" t="s">
        <v>525</v>
      </c>
      <c r="B103" s="195"/>
      <c r="C103" s="195"/>
      <c r="D103" s="195"/>
      <c r="E103" s="195"/>
      <c r="F103" s="195"/>
      <c r="G103" s="196"/>
    </row>
    <row r="104" spans="1:7">
      <c r="A104" s="64" t="s">
        <v>1</v>
      </c>
      <c r="B104" s="23" t="s">
        <v>422</v>
      </c>
      <c r="C104" s="23" t="s">
        <v>423</v>
      </c>
      <c r="D104" s="23" t="s">
        <v>424</v>
      </c>
      <c r="E104" s="23" t="s">
        <v>425</v>
      </c>
      <c r="F104" s="23" t="s">
        <v>426</v>
      </c>
      <c r="G104" s="65" t="s">
        <v>427</v>
      </c>
    </row>
    <row r="105" spans="1:7">
      <c r="A105" s="197" t="s">
        <v>79</v>
      </c>
      <c r="B105" s="199" t="s">
        <v>80</v>
      </c>
      <c r="C105" s="17" t="s">
        <v>526</v>
      </c>
      <c r="D105" s="17" t="s">
        <v>429</v>
      </c>
      <c r="E105" s="18">
        <v>2</v>
      </c>
      <c r="F105" s="177" t="s">
        <v>527</v>
      </c>
      <c r="G105" s="192">
        <f>'Sprint Backlog - Antiguo'!G27*4</f>
        <v>12</v>
      </c>
    </row>
    <row r="106" spans="1:7">
      <c r="A106" s="197"/>
      <c r="B106" s="199"/>
      <c r="C106" s="17" t="s">
        <v>528</v>
      </c>
      <c r="D106" s="17" t="s">
        <v>432</v>
      </c>
      <c r="E106" s="18">
        <v>4</v>
      </c>
      <c r="F106" s="177"/>
      <c r="G106" s="192"/>
    </row>
    <row r="107" spans="1:7">
      <c r="A107" s="197"/>
      <c r="B107" s="199"/>
      <c r="C107" s="17" t="s">
        <v>529</v>
      </c>
      <c r="D107" s="17" t="s">
        <v>434</v>
      </c>
      <c r="E107" s="18">
        <v>3</v>
      </c>
      <c r="F107" s="177"/>
      <c r="G107" s="192"/>
    </row>
    <row r="108" spans="1:7">
      <c r="A108" s="197"/>
      <c r="B108" s="199"/>
      <c r="C108" s="17" t="s">
        <v>530</v>
      </c>
      <c r="D108" s="17" t="s">
        <v>436</v>
      </c>
      <c r="E108" s="18">
        <v>2</v>
      </c>
      <c r="F108" s="177"/>
      <c r="G108" s="192"/>
    </row>
    <row r="109" spans="1:7">
      <c r="A109" s="197"/>
      <c r="B109" s="199"/>
      <c r="C109" s="17" t="s">
        <v>531</v>
      </c>
      <c r="D109" s="17" t="s">
        <v>438</v>
      </c>
      <c r="E109" s="18">
        <v>1</v>
      </c>
      <c r="F109" s="177"/>
      <c r="G109" s="192"/>
    </row>
    <row r="110" spans="1:7">
      <c r="A110" s="197" t="s">
        <v>83</v>
      </c>
      <c r="B110" s="177" t="s">
        <v>84</v>
      </c>
      <c r="C110" s="23" t="s">
        <v>423</v>
      </c>
      <c r="D110" s="23" t="s">
        <v>424</v>
      </c>
      <c r="E110" s="23" t="s">
        <v>425</v>
      </c>
      <c r="F110" s="23" t="s">
        <v>426</v>
      </c>
      <c r="G110" s="65" t="s">
        <v>427</v>
      </c>
    </row>
    <row r="111" spans="1:7">
      <c r="A111" s="197"/>
      <c r="B111" s="177"/>
      <c r="C111" s="17" t="s">
        <v>532</v>
      </c>
      <c r="D111" s="17" t="s">
        <v>429</v>
      </c>
      <c r="E111" s="18">
        <v>2</v>
      </c>
      <c r="F111" s="177" t="s">
        <v>533</v>
      </c>
      <c r="G111" s="192">
        <f>'Sprint Backlog - Antiguo'!G28*4</f>
        <v>20</v>
      </c>
    </row>
    <row r="112" spans="1:7">
      <c r="A112" s="197"/>
      <c r="B112" s="177"/>
      <c r="C112" s="17" t="s">
        <v>534</v>
      </c>
      <c r="D112" s="17" t="s">
        <v>432</v>
      </c>
      <c r="E112" s="18">
        <v>6</v>
      </c>
      <c r="F112" s="177"/>
      <c r="G112" s="192"/>
    </row>
    <row r="113" spans="1:7">
      <c r="A113" s="197"/>
      <c r="B113" s="177"/>
      <c r="C113" s="58" t="s">
        <v>535</v>
      </c>
      <c r="D113" s="17" t="s">
        <v>434</v>
      </c>
      <c r="E113" s="18">
        <v>9</v>
      </c>
      <c r="F113" s="177"/>
      <c r="G113" s="192"/>
    </row>
    <row r="114" spans="1:7">
      <c r="A114" s="197"/>
      <c r="B114" s="177"/>
      <c r="C114" s="58" t="s">
        <v>536</v>
      </c>
      <c r="D114" s="17" t="s">
        <v>436</v>
      </c>
      <c r="E114" s="18">
        <v>1</v>
      </c>
      <c r="F114" s="177"/>
      <c r="G114" s="192"/>
    </row>
    <row r="115" spans="1:7">
      <c r="A115" s="197"/>
      <c r="B115" s="177"/>
      <c r="C115" s="17" t="s">
        <v>537</v>
      </c>
      <c r="D115" s="17" t="s">
        <v>438</v>
      </c>
      <c r="E115" s="18">
        <v>1</v>
      </c>
      <c r="F115" s="177"/>
      <c r="G115" s="192"/>
    </row>
    <row r="116" spans="1:7">
      <c r="A116" s="197" t="s">
        <v>87</v>
      </c>
      <c r="B116" s="177" t="s">
        <v>88</v>
      </c>
      <c r="C116" s="23" t="s">
        <v>423</v>
      </c>
      <c r="D116" s="23" t="s">
        <v>424</v>
      </c>
      <c r="E116" s="23" t="s">
        <v>425</v>
      </c>
      <c r="F116" s="23" t="s">
        <v>426</v>
      </c>
      <c r="G116" s="65" t="s">
        <v>427</v>
      </c>
    </row>
    <row r="117" spans="1:7">
      <c r="A117" s="197"/>
      <c r="B117" s="177"/>
      <c r="C117" s="17" t="s">
        <v>538</v>
      </c>
      <c r="D117" s="17" t="s">
        <v>429</v>
      </c>
      <c r="E117" s="18">
        <v>1</v>
      </c>
      <c r="F117" s="177" t="s">
        <v>539</v>
      </c>
      <c r="G117" s="192">
        <f>'Sprint Backlog - Antiguo'!G29*4</f>
        <v>12</v>
      </c>
    </row>
    <row r="118" spans="1:7">
      <c r="A118" s="197"/>
      <c r="B118" s="177"/>
      <c r="C118" s="17" t="s">
        <v>540</v>
      </c>
      <c r="D118" s="17" t="s">
        <v>432</v>
      </c>
      <c r="E118" s="18">
        <v>3</v>
      </c>
      <c r="F118" s="177"/>
      <c r="G118" s="192"/>
    </row>
    <row r="119" spans="1:7">
      <c r="A119" s="197"/>
      <c r="B119" s="177"/>
      <c r="C119" s="17" t="s">
        <v>541</v>
      </c>
      <c r="D119" s="17" t="s">
        <v>434</v>
      </c>
      <c r="E119" s="18">
        <v>6</v>
      </c>
      <c r="F119" s="177"/>
      <c r="G119" s="192"/>
    </row>
    <row r="120" spans="1:7">
      <c r="A120" s="197"/>
      <c r="B120" s="177"/>
      <c r="C120" s="17" t="s">
        <v>542</v>
      </c>
      <c r="D120" s="17" t="s">
        <v>436</v>
      </c>
      <c r="E120" s="18">
        <v>1</v>
      </c>
      <c r="F120" s="177"/>
      <c r="G120" s="192"/>
    </row>
    <row r="121" spans="1:7">
      <c r="A121" s="197"/>
      <c r="B121" s="177"/>
      <c r="C121" s="17" t="s">
        <v>543</v>
      </c>
      <c r="D121" s="17" t="s">
        <v>438</v>
      </c>
      <c r="E121" s="18">
        <v>1</v>
      </c>
      <c r="F121" s="177"/>
      <c r="G121" s="192"/>
    </row>
    <row r="122" spans="1:7">
      <c r="A122" s="197" t="s">
        <v>97</v>
      </c>
      <c r="B122" s="177" t="s">
        <v>98</v>
      </c>
      <c r="C122" s="23" t="s">
        <v>423</v>
      </c>
      <c r="D122" s="23" t="s">
        <v>424</v>
      </c>
      <c r="E122" s="23" t="s">
        <v>425</v>
      </c>
      <c r="F122" s="23" t="s">
        <v>426</v>
      </c>
      <c r="G122" s="65" t="s">
        <v>427</v>
      </c>
    </row>
    <row r="123" spans="1:7">
      <c r="A123" s="197"/>
      <c r="B123" s="177"/>
      <c r="C123" s="17" t="s">
        <v>544</v>
      </c>
      <c r="D123" s="17" t="s">
        <v>429</v>
      </c>
      <c r="E123" s="18">
        <v>3</v>
      </c>
      <c r="F123" s="177" t="s">
        <v>545</v>
      </c>
      <c r="G123" s="192">
        <f>'Sprint Backlog - Antiguo'!G30*4</f>
        <v>20</v>
      </c>
    </row>
    <row r="124" spans="1:7">
      <c r="A124" s="197"/>
      <c r="B124" s="177"/>
      <c r="C124" s="17" t="s">
        <v>546</v>
      </c>
      <c r="D124" s="17" t="s">
        <v>432</v>
      </c>
      <c r="E124" s="18">
        <v>8</v>
      </c>
      <c r="F124" s="177"/>
      <c r="G124" s="192"/>
    </row>
    <row r="125" spans="1:7">
      <c r="A125" s="197"/>
      <c r="B125" s="177"/>
      <c r="C125" s="17" t="s">
        <v>547</v>
      </c>
      <c r="D125" s="17" t="s">
        <v>434</v>
      </c>
      <c r="E125" s="18">
        <v>6</v>
      </c>
      <c r="F125" s="177"/>
      <c r="G125" s="192"/>
    </row>
    <row r="126" spans="1:7">
      <c r="A126" s="197"/>
      <c r="B126" s="177"/>
      <c r="C126" s="17" t="s">
        <v>548</v>
      </c>
      <c r="D126" s="17" t="s">
        <v>436</v>
      </c>
      <c r="E126" s="18">
        <v>2</v>
      </c>
      <c r="F126" s="177"/>
      <c r="G126" s="192"/>
    </row>
    <row r="127" spans="1:7">
      <c r="A127" s="197"/>
      <c r="B127" s="177"/>
      <c r="C127" s="53" t="s">
        <v>549</v>
      </c>
      <c r="D127" s="17" t="s">
        <v>438</v>
      </c>
      <c r="E127" s="18">
        <v>1</v>
      </c>
      <c r="F127" s="177"/>
      <c r="G127" s="192"/>
    </row>
    <row r="128" spans="1:7">
      <c r="A128" s="197" t="s">
        <v>92</v>
      </c>
      <c r="B128" s="177" t="s">
        <v>93</v>
      </c>
      <c r="C128" s="23" t="s">
        <v>423</v>
      </c>
      <c r="D128" s="23" t="s">
        <v>424</v>
      </c>
      <c r="E128" s="23" t="s">
        <v>425</v>
      </c>
      <c r="F128" s="23" t="s">
        <v>426</v>
      </c>
      <c r="G128" s="65" t="s">
        <v>427</v>
      </c>
    </row>
    <row r="129" spans="1:7">
      <c r="A129" s="197"/>
      <c r="B129" s="177"/>
      <c r="C129" s="17" t="s">
        <v>550</v>
      </c>
      <c r="D129" s="17" t="s">
        <v>429</v>
      </c>
      <c r="E129" s="18">
        <v>2</v>
      </c>
      <c r="F129" s="177" t="s">
        <v>551</v>
      </c>
      <c r="G129" s="192">
        <f>'Sprint Backlog - Antiguo'!G31*4</f>
        <v>20</v>
      </c>
    </row>
    <row r="130" spans="1:7">
      <c r="A130" s="197"/>
      <c r="B130" s="177"/>
      <c r="C130" s="17" t="s">
        <v>552</v>
      </c>
      <c r="D130" s="17" t="s">
        <v>432</v>
      </c>
      <c r="E130" s="18">
        <v>7</v>
      </c>
      <c r="F130" s="177"/>
      <c r="G130" s="192"/>
    </row>
    <row r="131" spans="1:7">
      <c r="A131" s="197"/>
      <c r="B131" s="177"/>
      <c r="C131" s="17" t="s">
        <v>553</v>
      </c>
      <c r="D131" s="17" t="s">
        <v>434</v>
      </c>
      <c r="E131" s="18">
        <v>8</v>
      </c>
      <c r="F131" s="177"/>
      <c r="G131" s="192"/>
    </row>
    <row r="132" spans="1:7">
      <c r="A132" s="197"/>
      <c r="B132" s="177"/>
      <c r="C132" s="17" t="s">
        <v>554</v>
      </c>
      <c r="D132" s="17" t="s">
        <v>436</v>
      </c>
      <c r="E132" s="18">
        <v>2</v>
      </c>
      <c r="F132" s="177"/>
      <c r="G132" s="192"/>
    </row>
    <row r="133" spans="1:7">
      <c r="A133" s="198"/>
      <c r="B133" s="201"/>
      <c r="C133" s="67" t="s">
        <v>555</v>
      </c>
      <c r="D133" s="67" t="s">
        <v>438</v>
      </c>
      <c r="E133" s="66">
        <v>1</v>
      </c>
      <c r="F133" s="201"/>
      <c r="G133" s="193"/>
    </row>
    <row r="135" spans="1:7">
      <c r="A135" s="194" t="s">
        <v>556</v>
      </c>
      <c r="B135" s="195"/>
      <c r="C135" s="195"/>
      <c r="D135" s="195"/>
      <c r="E135" s="195"/>
      <c r="F135" s="195"/>
      <c r="G135" s="196"/>
    </row>
    <row r="136" spans="1:7">
      <c r="A136" s="64" t="s">
        <v>1</v>
      </c>
      <c r="B136" s="23" t="s">
        <v>422</v>
      </c>
      <c r="C136" s="23" t="s">
        <v>423</v>
      </c>
      <c r="D136" s="23" t="s">
        <v>424</v>
      </c>
      <c r="E136" s="23" t="s">
        <v>425</v>
      </c>
      <c r="F136" s="23" t="s">
        <v>426</v>
      </c>
      <c r="G136" s="65" t="s">
        <v>427</v>
      </c>
    </row>
    <row r="137" spans="1:7">
      <c r="A137" s="197" t="s">
        <v>102</v>
      </c>
      <c r="B137" s="199" t="s">
        <v>103</v>
      </c>
      <c r="C137" s="17" t="s">
        <v>557</v>
      </c>
      <c r="D137" s="17" t="s">
        <v>429</v>
      </c>
      <c r="E137" s="18">
        <v>2</v>
      </c>
      <c r="F137" s="177" t="s">
        <v>558</v>
      </c>
      <c r="G137" s="192">
        <f>'Sprint Backlog - Antiguo'!G35*4</f>
        <v>8</v>
      </c>
    </row>
    <row r="138" spans="1:7">
      <c r="A138" s="197"/>
      <c r="B138" s="199"/>
      <c r="C138" s="17" t="s">
        <v>559</v>
      </c>
      <c r="D138" s="17" t="s">
        <v>432</v>
      </c>
      <c r="E138" s="18">
        <v>4</v>
      </c>
      <c r="F138" s="177"/>
      <c r="G138" s="192"/>
    </row>
    <row r="139" spans="1:7">
      <c r="A139" s="197"/>
      <c r="B139" s="199"/>
      <c r="C139" s="17"/>
      <c r="D139" s="17" t="s">
        <v>434</v>
      </c>
      <c r="E139" s="18"/>
      <c r="F139" s="177"/>
      <c r="G139" s="192"/>
    </row>
    <row r="140" spans="1:7">
      <c r="A140" s="197"/>
      <c r="B140" s="199"/>
      <c r="C140" s="17" t="s">
        <v>560</v>
      </c>
      <c r="D140" s="17" t="s">
        <v>436</v>
      </c>
      <c r="E140" s="18">
        <v>1</v>
      </c>
      <c r="F140" s="177"/>
      <c r="G140" s="192"/>
    </row>
    <row r="141" spans="1:7">
      <c r="A141" s="197"/>
      <c r="B141" s="199"/>
      <c r="C141" s="17" t="s">
        <v>499</v>
      </c>
      <c r="D141" s="17" t="s">
        <v>438</v>
      </c>
      <c r="E141" s="18">
        <v>1</v>
      </c>
      <c r="F141" s="177"/>
      <c r="G141" s="192"/>
    </row>
    <row r="142" spans="1:7">
      <c r="A142" s="197" t="s">
        <v>106</v>
      </c>
      <c r="B142" s="177" t="s">
        <v>107</v>
      </c>
      <c r="C142" s="23" t="s">
        <v>423</v>
      </c>
      <c r="D142" s="23" t="s">
        <v>424</v>
      </c>
      <c r="E142" s="23" t="s">
        <v>425</v>
      </c>
      <c r="F142" s="23" t="s">
        <v>426</v>
      </c>
      <c r="G142" s="65" t="s">
        <v>427</v>
      </c>
    </row>
    <row r="143" spans="1:7">
      <c r="A143" s="197"/>
      <c r="B143" s="177"/>
      <c r="C143" s="17" t="s">
        <v>561</v>
      </c>
      <c r="D143" s="17" t="s">
        <v>429</v>
      </c>
      <c r="E143" s="18">
        <v>1</v>
      </c>
      <c r="F143" s="177" t="s">
        <v>562</v>
      </c>
      <c r="G143" s="192">
        <f>'Sprint Backlog - Antiguo'!G36*4</f>
        <v>8</v>
      </c>
    </row>
    <row r="144" spans="1:7">
      <c r="A144" s="197"/>
      <c r="B144" s="177"/>
      <c r="C144" s="17" t="s">
        <v>563</v>
      </c>
      <c r="D144" s="17" t="s">
        <v>432</v>
      </c>
      <c r="E144" s="18">
        <v>2</v>
      </c>
      <c r="F144" s="177"/>
      <c r="G144" s="192"/>
    </row>
    <row r="145" spans="1:7">
      <c r="A145" s="197"/>
      <c r="B145" s="177"/>
      <c r="C145" s="53" t="s">
        <v>564</v>
      </c>
      <c r="D145" s="17" t="s">
        <v>434</v>
      </c>
      <c r="E145" s="18">
        <v>3</v>
      </c>
      <c r="F145" s="177"/>
      <c r="G145" s="192"/>
    </row>
    <row r="146" spans="1:7">
      <c r="A146" s="197"/>
      <c r="B146" s="177"/>
      <c r="C146" s="53" t="s">
        <v>565</v>
      </c>
      <c r="D146" s="17" t="s">
        <v>436</v>
      </c>
      <c r="E146" s="18">
        <v>1</v>
      </c>
      <c r="F146" s="177"/>
      <c r="G146" s="192"/>
    </row>
    <row r="147" spans="1:7">
      <c r="A147" s="197"/>
      <c r="B147" s="177"/>
      <c r="C147" s="17" t="s">
        <v>566</v>
      </c>
      <c r="D147" s="17" t="s">
        <v>438</v>
      </c>
      <c r="E147" s="18">
        <v>1</v>
      </c>
      <c r="F147" s="177"/>
      <c r="G147" s="192"/>
    </row>
    <row r="148" spans="1:7">
      <c r="A148" s="197" t="s">
        <v>111</v>
      </c>
      <c r="B148" s="177" t="s">
        <v>112</v>
      </c>
      <c r="C148" s="23" t="s">
        <v>423</v>
      </c>
      <c r="D148" s="23" t="s">
        <v>424</v>
      </c>
      <c r="E148" s="23" t="s">
        <v>425</v>
      </c>
      <c r="F148" s="23" t="s">
        <v>426</v>
      </c>
      <c r="G148" s="65" t="s">
        <v>427</v>
      </c>
    </row>
    <row r="149" spans="1:7">
      <c r="A149" s="197"/>
      <c r="B149" s="177"/>
      <c r="C149" s="17" t="s">
        <v>567</v>
      </c>
      <c r="D149" s="17" t="s">
        <v>429</v>
      </c>
      <c r="E149" s="18">
        <v>3</v>
      </c>
      <c r="F149" s="177" t="s">
        <v>568</v>
      </c>
      <c r="G149" s="192">
        <f>'Sprint Backlog - Antiguo'!G37*4</f>
        <v>20</v>
      </c>
    </row>
    <row r="150" spans="1:7">
      <c r="A150" s="197"/>
      <c r="B150" s="177"/>
      <c r="C150" s="17" t="s">
        <v>569</v>
      </c>
      <c r="D150" s="17" t="s">
        <v>432</v>
      </c>
      <c r="E150" s="18">
        <v>9</v>
      </c>
      <c r="F150" s="177"/>
      <c r="G150" s="192"/>
    </row>
    <row r="151" spans="1:7" ht="27.75">
      <c r="A151" s="197"/>
      <c r="B151" s="177"/>
      <c r="C151" s="17" t="s">
        <v>570</v>
      </c>
      <c r="D151" s="17" t="s">
        <v>434</v>
      </c>
      <c r="E151" s="18">
        <v>5</v>
      </c>
      <c r="F151" s="177"/>
      <c r="G151" s="192"/>
    </row>
    <row r="152" spans="1:7">
      <c r="A152" s="197"/>
      <c r="B152" s="177"/>
      <c r="C152" s="17" t="s">
        <v>571</v>
      </c>
      <c r="D152" s="17" t="s">
        <v>436</v>
      </c>
      <c r="E152" s="18">
        <v>2</v>
      </c>
      <c r="F152" s="177"/>
      <c r="G152" s="192"/>
    </row>
    <row r="153" spans="1:7">
      <c r="A153" s="197"/>
      <c r="B153" s="177"/>
      <c r="C153" s="17" t="s">
        <v>572</v>
      </c>
      <c r="D153" s="17" t="s">
        <v>438</v>
      </c>
      <c r="E153" s="18">
        <v>1</v>
      </c>
      <c r="F153" s="177"/>
      <c r="G153" s="192"/>
    </row>
    <row r="154" spans="1:7">
      <c r="A154" s="197" t="s">
        <v>115</v>
      </c>
      <c r="B154" s="177" t="s">
        <v>116</v>
      </c>
      <c r="C154" s="23" t="s">
        <v>423</v>
      </c>
      <c r="D154" s="23" t="s">
        <v>424</v>
      </c>
      <c r="E154" s="23" t="s">
        <v>425</v>
      </c>
      <c r="F154" s="23" t="s">
        <v>426</v>
      </c>
      <c r="G154" s="65" t="s">
        <v>427</v>
      </c>
    </row>
    <row r="155" spans="1:7">
      <c r="A155" s="197"/>
      <c r="B155" s="177"/>
      <c r="C155" s="17" t="s">
        <v>573</v>
      </c>
      <c r="D155" s="17" t="s">
        <v>429</v>
      </c>
      <c r="E155" s="18">
        <v>1</v>
      </c>
      <c r="F155" s="177" t="s">
        <v>574</v>
      </c>
      <c r="G155" s="192">
        <f>'Sprint Backlog - Antiguo'!G38*4</f>
        <v>8</v>
      </c>
    </row>
    <row r="156" spans="1:7">
      <c r="A156" s="197"/>
      <c r="B156" s="177"/>
      <c r="C156" s="17" t="s">
        <v>575</v>
      </c>
      <c r="D156" s="17" t="s">
        <v>432</v>
      </c>
      <c r="E156" s="18">
        <v>2</v>
      </c>
      <c r="F156" s="177"/>
      <c r="G156" s="192"/>
    </row>
    <row r="157" spans="1:7">
      <c r="A157" s="197"/>
      <c r="B157" s="177"/>
      <c r="C157" s="17" t="s">
        <v>576</v>
      </c>
      <c r="D157" s="17" t="s">
        <v>434</v>
      </c>
      <c r="E157" s="18">
        <v>3</v>
      </c>
      <c r="F157" s="177"/>
      <c r="G157" s="192"/>
    </row>
    <row r="158" spans="1:7">
      <c r="A158" s="197"/>
      <c r="B158" s="177"/>
      <c r="C158" s="17" t="s">
        <v>577</v>
      </c>
      <c r="D158" s="17" t="s">
        <v>436</v>
      </c>
      <c r="E158" s="18">
        <v>1</v>
      </c>
      <c r="F158" s="177"/>
      <c r="G158" s="192"/>
    </row>
    <row r="159" spans="1:7">
      <c r="A159" s="197"/>
      <c r="B159" s="177"/>
      <c r="C159" s="17" t="s">
        <v>578</v>
      </c>
      <c r="D159" s="17" t="s">
        <v>438</v>
      </c>
      <c r="E159" s="18">
        <v>1</v>
      </c>
      <c r="F159" s="177"/>
      <c r="G159" s="192"/>
    </row>
    <row r="160" spans="1:7">
      <c r="A160" s="197" t="s">
        <v>120</v>
      </c>
      <c r="B160" s="177" t="s">
        <v>121</v>
      </c>
      <c r="C160" s="23" t="s">
        <v>423</v>
      </c>
      <c r="D160" s="23" t="s">
        <v>424</v>
      </c>
      <c r="E160" s="23" t="s">
        <v>425</v>
      </c>
      <c r="F160" s="23" t="s">
        <v>426</v>
      </c>
      <c r="G160" s="65" t="s">
        <v>427</v>
      </c>
    </row>
    <row r="161" spans="1:7">
      <c r="A161" s="197"/>
      <c r="B161" s="177"/>
      <c r="C161" s="17" t="s">
        <v>579</v>
      </c>
      <c r="D161" s="17" t="s">
        <v>429</v>
      </c>
      <c r="E161" s="18">
        <v>2</v>
      </c>
      <c r="F161" s="177" t="s">
        <v>580</v>
      </c>
      <c r="G161" s="192">
        <f>'Sprint Backlog - Antiguo'!G39*4</f>
        <v>8</v>
      </c>
    </row>
    <row r="162" spans="1:7" ht="27.75">
      <c r="A162" s="197"/>
      <c r="B162" s="177"/>
      <c r="C162" s="17" t="s">
        <v>581</v>
      </c>
      <c r="D162" s="17" t="s">
        <v>432</v>
      </c>
      <c r="E162" s="18">
        <v>4</v>
      </c>
      <c r="F162" s="177"/>
      <c r="G162" s="192"/>
    </row>
    <row r="163" spans="1:7">
      <c r="A163" s="197"/>
      <c r="B163" s="177"/>
      <c r="C163" s="17"/>
      <c r="D163" s="17" t="s">
        <v>434</v>
      </c>
      <c r="E163" s="18"/>
      <c r="F163" s="177"/>
      <c r="G163" s="192"/>
    </row>
    <row r="164" spans="1:7">
      <c r="A164" s="197"/>
      <c r="B164" s="177"/>
      <c r="C164" s="17" t="s">
        <v>582</v>
      </c>
      <c r="D164" s="17" t="s">
        <v>436</v>
      </c>
      <c r="E164" s="18">
        <v>1</v>
      </c>
      <c r="F164" s="177"/>
      <c r="G164" s="192"/>
    </row>
    <row r="165" spans="1:7">
      <c r="A165" s="197"/>
      <c r="B165" s="177"/>
      <c r="C165" s="17" t="s">
        <v>583</v>
      </c>
      <c r="D165" s="17" t="s">
        <v>438</v>
      </c>
      <c r="E165" s="18">
        <v>1</v>
      </c>
      <c r="F165" s="177"/>
      <c r="G165" s="192"/>
    </row>
    <row r="166" spans="1:7">
      <c r="A166" s="197" t="s">
        <v>249</v>
      </c>
      <c r="B166" s="177" t="s">
        <v>250</v>
      </c>
      <c r="C166" s="23" t="s">
        <v>423</v>
      </c>
      <c r="D166" s="23" t="s">
        <v>424</v>
      </c>
      <c r="E166" s="23" t="s">
        <v>425</v>
      </c>
      <c r="F166" s="23" t="s">
        <v>426</v>
      </c>
      <c r="G166" s="65" t="s">
        <v>427</v>
      </c>
    </row>
    <row r="167" spans="1:7">
      <c r="A167" s="197"/>
      <c r="B167" s="177"/>
      <c r="C167" t="s">
        <v>584</v>
      </c>
      <c r="D167" s="17" t="s">
        <v>429</v>
      </c>
      <c r="E167" s="18">
        <v>1</v>
      </c>
      <c r="F167" s="177" t="s">
        <v>585</v>
      </c>
      <c r="G167" s="192">
        <f>'Sprint Backlog - Antiguo'!G40*4</f>
        <v>20</v>
      </c>
    </row>
    <row r="168" spans="1:7">
      <c r="A168" s="197"/>
      <c r="B168" s="177"/>
      <c r="C168" s="17" t="s">
        <v>586</v>
      </c>
      <c r="D168" s="17" t="s">
        <v>432</v>
      </c>
      <c r="E168" s="18">
        <v>7</v>
      </c>
      <c r="F168" s="177"/>
      <c r="G168" s="192"/>
    </row>
    <row r="169" spans="1:7">
      <c r="A169" s="197"/>
      <c r="B169" s="177"/>
      <c r="C169" s="17" t="s">
        <v>587</v>
      </c>
      <c r="D169" s="17" t="s">
        <v>434</v>
      </c>
      <c r="E169" s="18">
        <v>9</v>
      </c>
      <c r="F169" s="177"/>
      <c r="G169" s="192"/>
    </row>
    <row r="170" spans="1:7">
      <c r="A170" s="197"/>
      <c r="B170" s="177"/>
      <c r="C170" s="17" t="s">
        <v>588</v>
      </c>
      <c r="D170" s="17" t="s">
        <v>436</v>
      </c>
      <c r="E170" s="18">
        <v>2</v>
      </c>
      <c r="F170" s="177"/>
      <c r="G170" s="192"/>
    </row>
    <row r="171" spans="1:7">
      <c r="A171" s="197"/>
      <c r="B171" s="177"/>
      <c r="C171" s="17" t="s">
        <v>589</v>
      </c>
      <c r="D171" s="17" t="s">
        <v>438</v>
      </c>
      <c r="E171" s="18">
        <v>1</v>
      </c>
      <c r="F171" s="177"/>
      <c r="G171" s="192"/>
    </row>
    <row r="172" spans="1:7">
      <c r="A172" s="197" t="s">
        <v>253</v>
      </c>
      <c r="B172" s="177" t="s">
        <v>254</v>
      </c>
      <c r="C172" s="23" t="s">
        <v>423</v>
      </c>
      <c r="D172" s="23" t="s">
        <v>424</v>
      </c>
      <c r="E172" s="23" t="s">
        <v>425</v>
      </c>
      <c r="F172" s="23" t="s">
        <v>426</v>
      </c>
      <c r="G172" s="65" t="s">
        <v>427</v>
      </c>
    </row>
    <row r="173" spans="1:7">
      <c r="A173" s="197"/>
      <c r="B173" s="177"/>
      <c r="C173" s="17" t="s">
        <v>590</v>
      </c>
      <c r="D173" s="17" t="s">
        <v>429</v>
      </c>
      <c r="E173" s="18">
        <v>1</v>
      </c>
      <c r="F173" s="177" t="s">
        <v>591</v>
      </c>
      <c r="G173" s="192">
        <f>'Sprint Backlog - Antiguo'!G41*4</f>
        <v>8</v>
      </c>
    </row>
    <row r="174" spans="1:7">
      <c r="A174" s="197"/>
      <c r="B174" s="177"/>
      <c r="C174" s="17" t="s">
        <v>592</v>
      </c>
      <c r="D174" s="17" t="s">
        <v>432</v>
      </c>
      <c r="E174" s="18">
        <v>2</v>
      </c>
      <c r="F174" s="177"/>
      <c r="G174" s="192"/>
    </row>
    <row r="175" spans="1:7">
      <c r="A175" s="197"/>
      <c r="B175" s="177"/>
      <c r="C175" s="17" t="s">
        <v>593</v>
      </c>
      <c r="D175" s="17" t="s">
        <v>434</v>
      </c>
      <c r="E175" s="18">
        <v>3</v>
      </c>
      <c r="F175" s="177"/>
      <c r="G175" s="192"/>
    </row>
    <row r="176" spans="1:7">
      <c r="A176" s="197"/>
      <c r="B176" s="177"/>
      <c r="C176" s="17" t="s">
        <v>594</v>
      </c>
      <c r="D176" s="17" t="s">
        <v>436</v>
      </c>
      <c r="E176" s="18">
        <v>1</v>
      </c>
      <c r="F176" s="177"/>
      <c r="G176" s="192"/>
    </row>
    <row r="177" spans="1:7">
      <c r="A177" s="197"/>
      <c r="B177" s="177"/>
      <c r="C177" s="17" t="s">
        <v>595</v>
      </c>
      <c r="D177" s="17" t="s">
        <v>438</v>
      </c>
      <c r="E177" s="18">
        <v>1</v>
      </c>
      <c r="F177" s="177"/>
      <c r="G177" s="192"/>
    </row>
    <row r="178" spans="1:7">
      <c r="A178" s="197" t="s">
        <v>257</v>
      </c>
      <c r="B178" s="177" t="s">
        <v>258</v>
      </c>
      <c r="C178" s="23" t="s">
        <v>423</v>
      </c>
      <c r="D178" s="23" t="s">
        <v>424</v>
      </c>
      <c r="E178" s="23" t="s">
        <v>425</v>
      </c>
      <c r="F178" s="23" t="s">
        <v>426</v>
      </c>
      <c r="G178" s="65" t="s">
        <v>427</v>
      </c>
    </row>
    <row r="179" spans="1:7">
      <c r="A179" s="197"/>
      <c r="B179" s="177"/>
      <c r="C179" s="17"/>
      <c r="D179" s="17" t="s">
        <v>429</v>
      </c>
      <c r="E179" s="18"/>
      <c r="F179" s="177" t="s">
        <v>596</v>
      </c>
      <c r="G179" s="192">
        <f>'Sprint Backlog - Antiguo'!G42*4</f>
        <v>8</v>
      </c>
    </row>
    <row r="180" spans="1:7">
      <c r="A180" s="197"/>
      <c r="B180" s="177"/>
      <c r="C180" s="17" t="s">
        <v>597</v>
      </c>
      <c r="D180" s="17" t="s">
        <v>432</v>
      </c>
      <c r="E180" s="18">
        <v>3</v>
      </c>
      <c r="F180" s="177"/>
      <c r="G180" s="192"/>
    </row>
    <row r="181" spans="1:7">
      <c r="A181" s="197"/>
      <c r="B181" s="177"/>
      <c r="C181" s="53" t="s">
        <v>598</v>
      </c>
      <c r="D181" s="17" t="s">
        <v>434</v>
      </c>
      <c r="E181" s="18">
        <v>3</v>
      </c>
      <c r="F181" s="177"/>
      <c r="G181" s="192"/>
    </row>
    <row r="182" spans="1:7">
      <c r="A182" s="197"/>
      <c r="B182" s="177"/>
      <c r="C182" s="17" t="s">
        <v>498</v>
      </c>
      <c r="D182" s="17" t="s">
        <v>436</v>
      </c>
      <c r="E182" s="18">
        <v>1</v>
      </c>
      <c r="F182" s="177"/>
      <c r="G182" s="192"/>
    </row>
    <row r="183" spans="1:7">
      <c r="A183" s="197"/>
      <c r="B183" s="177"/>
      <c r="C183" s="17" t="s">
        <v>499</v>
      </c>
      <c r="D183" s="17" t="s">
        <v>438</v>
      </c>
      <c r="E183" s="18">
        <v>1</v>
      </c>
      <c r="F183" s="177"/>
      <c r="G183" s="192"/>
    </row>
    <row r="184" spans="1:7">
      <c r="A184" s="197" t="s">
        <v>261</v>
      </c>
      <c r="B184" s="177" t="s">
        <v>262</v>
      </c>
      <c r="C184" s="23" t="s">
        <v>423</v>
      </c>
      <c r="D184" s="23" t="s">
        <v>424</v>
      </c>
      <c r="E184" s="23" t="s">
        <v>425</v>
      </c>
      <c r="F184" s="23" t="s">
        <v>426</v>
      </c>
      <c r="G184" s="65" t="s">
        <v>427</v>
      </c>
    </row>
    <row r="185" spans="1:7">
      <c r="A185" s="197"/>
      <c r="B185" s="177"/>
      <c r="C185" s="17" t="s">
        <v>599</v>
      </c>
      <c r="D185" s="17" t="s">
        <v>429</v>
      </c>
      <c r="E185" s="18">
        <v>1</v>
      </c>
      <c r="F185" s="177" t="s">
        <v>600</v>
      </c>
      <c r="G185" s="192">
        <f>'Sprint Backlog - Antiguo'!G43*4</f>
        <v>8</v>
      </c>
    </row>
    <row r="186" spans="1:7">
      <c r="A186" s="197"/>
      <c r="B186" s="177"/>
      <c r="C186" s="17" t="s">
        <v>601</v>
      </c>
      <c r="D186" s="17" t="s">
        <v>432</v>
      </c>
      <c r="E186" s="18">
        <v>3</v>
      </c>
      <c r="F186" s="177"/>
      <c r="G186" s="192"/>
    </row>
    <row r="187" spans="1:7">
      <c r="A187" s="197"/>
      <c r="B187" s="177"/>
      <c r="C187" s="17" t="s">
        <v>602</v>
      </c>
      <c r="D187" s="17" t="s">
        <v>434</v>
      </c>
      <c r="E187" s="18">
        <v>2</v>
      </c>
      <c r="F187" s="177"/>
      <c r="G187" s="192"/>
    </row>
    <row r="188" spans="1:7">
      <c r="A188" s="197"/>
      <c r="B188" s="177"/>
      <c r="C188" s="17" t="s">
        <v>498</v>
      </c>
      <c r="D188" s="17" t="s">
        <v>436</v>
      </c>
      <c r="E188" s="18">
        <v>1</v>
      </c>
      <c r="F188" s="177"/>
      <c r="G188" s="192"/>
    </row>
    <row r="189" spans="1:7">
      <c r="A189" s="198"/>
      <c r="B189" s="201"/>
      <c r="C189" s="67" t="s">
        <v>499</v>
      </c>
      <c r="D189" s="67" t="s">
        <v>438</v>
      </c>
      <c r="E189" s="66">
        <v>1</v>
      </c>
      <c r="F189" s="201"/>
      <c r="G189" s="193"/>
    </row>
    <row r="191" spans="1:7">
      <c r="A191" s="194" t="s">
        <v>603</v>
      </c>
      <c r="B191" s="195"/>
      <c r="C191" s="195"/>
      <c r="D191" s="195"/>
      <c r="E191" s="195"/>
      <c r="F191" s="195"/>
      <c r="G191" s="196"/>
    </row>
    <row r="192" spans="1:7">
      <c r="A192" s="64" t="s">
        <v>1</v>
      </c>
      <c r="B192" s="23" t="s">
        <v>422</v>
      </c>
      <c r="C192" s="23" t="s">
        <v>423</v>
      </c>
      <c r="D192" s="23" t="s">
        <v>424</v>
      </c>
      <c r="E192" s="23" t="s">
        <v>425</v>
      </c>
      <c r="F192" s="23" t="s">
        <v>426</v>
      </c>
      <c r="G192" s="65" t="s">
        <v>427</v>
      </c>
    </row>
    <row r="193" spans="1:7">
      <c r="A193" s="197" t="s">
        <v>125</v>
      </c>
      <c r="B193" s="199" t="s">
        <v>126</v>
      </c>
      <c r="C193" s="17" t="s">
        <v>604</v>
      </c>
      <c r="D193" s="17" t="s">
        <v>429</v>
      </c>
      <c r="E193" s="18">
        <v>2</v>
      </c>
      <c r="F193" s="177" t="s">
        <v>605</v>
      </c>
      <c r="G193" s="192">
        <f>'Sprint Backlog - Antiguo'!G47*4</f>
        <v>20</v>
      </c>
    </row>
    <row r="194" spans="1:7">
      <c r="A194" s="197"/>
      <c r="B194" s="199"/>
      <c r="C194" s="17" t="s">
        <v>606</v>
      </c>
      <c r="D194" s="17" t="s">
        <v>432</v>
      </c>
      <c r="E194" s="18">
        <v>8</v>
      </c>
      <c r="F194" s="177"/>
      <c r="G194" s="192"/>
    </row>
    <row r="195" spans="1:7">
      <c r="A195" s="197"/>
      <c r="B195" s="199"/>
      <c r="C195" s="17" t="s">
        <v>607</v>
      </c>
      <c r="D195" s="17" t="s">
        <v>434</v>
      </c>
      <c r="E195" s="18">
        <v>8</v>
      </c>
      <c r="F195" s="177"/>
      <c r="G195" s="192"/>
    </row>
    <row r="196" spans="1:7">
      <c r="A196" s="197"/>
      <c r="B196" s="199"/>
      <c r="C196" s="17" t="s">
        <v>608</v>
      </c>
      <c r="D196" s="17" t="s">
        <v>436</v>
      </c>
      <c r="E196" s="18">
        <v>1</v>
      </c>
      <c r="F196" s="177"/>
      <c r="G196" s="192"/>
    </row>
    <row r="197" spans="1:7">
      <c r="A197" s="197"/>
      <c r="B197" s="199"/>
      <c r="C197" s="17" t="s">
        <v>609</v>
      </c>
      <c r="D197" s="17" t="s">
        <v>438</v>
      </c>
      <c r="E197" s="18">
        <v>1</v>
      </c>
      <c r="F197" s="177"/>
      <c r="G197" s="192"/>
    </row>
    <row r="198" spans="1:7">
      <c r="A198" s="197" t="s">
        <v>129</v>
      </c>
      <c r="B198" s="177" t="s">
        <v>130</v>
      </c>
      <c r="C198" s="23" t="s">
        <v>423</v>
      </c>
      <c r="D198" s="23" t="s">
        <v>424</v>
      </c>
      <c r="E198" s="23" t="s">
        <v>425</v>
      </c>
      <c r="F198" s="23" t="s">
        <v>426</v>
      </c>
      <c r="G198" s="65" t="s">
        <v>427</v>
      </c>
    </row>
    <row r="199" spans="1:7">
      <c r="A199" s="197"/>
      <c r="B199" s="177"/>
      <c r="C199" s="17" t="s">
        <v>610</v>
      </c>
      <c r="D199" s="17" t="s">
        <v>429</v>
      </c>
      <c r="E199" s="18">
        <v>1</v>
      </c>
      <c r="F199" s="177" t="s">
        <v>611</v>
      </c>
      <c r="G199" s="192">
        <f>'Sprint Backlog - Antiguo'!G48*4</f>
        <v>12</v>
      </c>
    </row>
    <row r="200" spans="1:7">
      <c r="A200" s="197"/>
      <c r="B200" s="177"/>
      <c r="C200" s="17" t="s">
        <v>612</v>
      </c>
      <c r="D200" s="17" t="s">
        <v>432</v>
      </c>
      <c r="E200" s="18">
        <v>4</v>
      </c>
      <c r="F200" s="177"/>
      <c r="G200" s="192"/>
    </row>
    <row r="201" spans="1:7">
      <c r="A201" s="197"/>
      <c r="B201" s="177"/>
      <c r="C201" s="53" t="s">
        <v>613</v>
      </c>
      <c r="D201" s="17" t="s">
        <v>434</v>
      </c>
      <c r="E201" s="18">
        <v>5</v>
      </c>
      <c r="F201" s="177"/>
      <c r="G201" s="192"/>
    </row>
    <row r="202" spans="1:7">
      <c r="A202" s="197"/>
      <c r="B202" s="177"/>
      <c r="C202" s="53" t="s">
        <v>614</v>
      </c>
      <c r="D202" s="17" t="s">
        <v>436</v>
      </c>
      <c r="E202" s="18">
        <v>1</v>
      </c>
      <c r="F202" s="177"/>
      <c r="G202" s="192"/>
    </row>
    <row r="203" spans="1:7">
      <c r="A203" s="197"/>
      <c r="B203" s="177"/>
      <c r="C203" s="17" t="s">
        <v>615</v>
      </c>
      <c r="D203" s="17" t="s">
        <v>438</v>
      </c>
      <c r="E203" s="18">
        <v>1</v>
      </c>
      <c r="F203" s="177"/>
      <c r="G203" s="192"/>
    </row>
    <row r="204" spans="1:7">
      <c r="A204" s="197" t="s">
        <v>133</v>
      </c>
      <c r="B204" s="177" t="s">
        <v>134</v>
      </c>
      <c r="C204" s="23" t="s">
        <v>423</v>
      </c>
      <c r="D204" s="23" t="s">
        <v>424</v>
      </c>
      <c r="E204" s="23" t="s">
        <v>425</v>
      </c>
      <c r="F204" s="23" t="s">
        <v>426</v>
      </c>
      <c r="G204" s="65" t="s">
        <v>427</v>
      </c>
    </row>
    <row r="205" spans="1:7">
      <c r="A205" s="197"/>
      <c r="B205" s="177"/>
      <c r="C205" s="17" t="s">
        <v>616</v>
      </c>
      <c r="D205" s="17" t="s">
        <v>429</v>
      </c>
      <c r="E205" s="18">
        <v>1</v>
      </c>
      <c r="F205" s="177" t="s">
        <v>617</v>
      </c>
      <c r="G205" s="192">
        <f>'Sprint Backlog - Antiguo'!G49*4</f>
        <v>12</v>
      </c>
    </row>
    <row r="206" spans="1:7">
      <c r="A206" s="197"/>
      <c r="B206" s="177"/>
      <c r="C206" s="17" t="s">
        <v>618</v>
      </c>
      <c r="D206" s="17" t="s">
        <v>432</v>
      </c>
      <c r="E206" s="18">
        <v>4</v>
      </c>
      <c r="F206" s="177"/>
      <c r="G206" s="192"/>
    </row>
    <row r="207" spans="1:7">
      <c r="A207" s="197"/>
      <c r="B207" s="177"/>
      <c r="C207" s="17" t="s">
        <v>619</v>
      </c>
      <c r="D207" s="17" t="s">
        <v>434</v>
      </c>
      <c r="E207" s="18">
        <v>5</v>
      </c>
      <c r="F207" s="177"/>
      <c r="G207" s="192"/>
    </row>
    <row r="208" spans="1:7">
      <c r="A208" s="197"/>
      <c r="B208" s="177"/>
      <c r="C208" s="17" t="s">
        <v>620</v>
      </c>
      <c r="D208" s="17" t="s">
        <v>436</v>
      </c>
      <c r="E208" s="18">
        <v>1</v>
      </c>
      <c r="F208" s="177"/>
      <c r="G208" s="192"/>
    </row>
    <row r="209" spans="1:7">
      <c r="A209" s="197"/>
      <c r="B209" s="177"/>
      <c r="C209" s="17" t="s">
        <v>621</v>
      </c>
      <c r="D209" s="17" t="s">
        <v>438</v>
      </c>
      <c r="E209" s="18">
        <v>1</v>
      </c>
      <c r="F209" s="177"/>
      <c r="G209" s="192"/>
    </row>
    <row r="210" spans="1:7">
      <c r="A210" s="197" t="s">
        <v>138</v>
      </c>
      <c r="B210" s="199" t="s">
        <v>139</v>
      </c>
      <c r="C210" s="23" t="s">
        <v>423</v>
      </c>
      <c r="D210" s="23" t="s">
        <v>424</v>
      </c>
      <c r="E210" s="23" t="s">
        <v>425</v>
      </c>
      <c r="F210" s="23" t="s">
        <v>426</v>
      </c>
      <c r="G210" s="65" t="s">
        <v>427</v>
      </c>
    </row>
    <row r="211" spans="1:7">
      <c r="A211" s="197"/>
      <c r="B211" s="199"/>
      <c r="C211" s="17" t="s">
        <v>622</v>
      </c>
      <c r="D211" s="17" t="s">
        <v>429</v>
      </c>
      <c r="E211" s="18">
        <v>3</v>
      </c>
      <c r="F211" s="177" t="s">
        <v>623</v>
      </c>
      <c r="G211" s="192">
        <f>'Sprint Backlog - Antiguo'!G50*4</f>
        <v>52</v>
      </c>
    </row>
    <row r="212" spans="1:7">
      <c r="A212" s="197"/>
      <c r="B212" s="199"/>
      <c r="C212" s="53" t="s">
        <v>624</v>
      </c>
      <c r="D212" s="17" t="s">
        <v>432</v>
      </c>
      <c r="E212" s="18">
        <v>8</v>
      </c>
      <c r="F212" s="177"/>
      <c r="G212" s="192"/>
    </row>
    <row r="213" spans="1:7">
      <c r="A213" s="197"/>
      <c r="B213" s="199"/>
      <c r="C213" s="17" t="s">
        <v>625</v>
      </c>
      <c r="D213" s="17" t="s">
        <v>434</v>
      </c>
      <c r="E213" s="18">
        <v>36</v>
      </c>
      <c r="F213" s="177"/>
      <c r="G213" s="192"/>
    </row>
    <row r="214" spans="1:7">
      <c r="A214" s="197"/>
      <c r="B214" s="199"/>
      <c r="C214" s="17" t="s">
        <v>626</v>
      </c>
      <c r="D214" s="17" t="s">
        <v>436</v>
      </c>
      <c r="E214" s="18">
        <v>3</v>
      </c>
      <c r="F214" s="177"/>
      <c r="G214" s="192"/>
    </row>
    <row r="215" spans="1:7">
      <c r="A215" s="198"/>
      <c r="B215" s="200"/>
      <c r="C215" s="67" t="s">
        <v>627</v>
      </c>
      <c r="D215" s="67" t="s">
        <v>438</v>
      </c>
      <c r="E215" s="66">
        <v>2</v>
      </c>
      <c r="F215" s="201"/>
      <c r="G215" s="193"/>
    </row>
    <row r="217" spans="1:7">
      <c r="A217" s="194" t="s">
        <v>628</v>
      </c>
      <c r="B217" s="195"/>
      <c r="C217" s="195"/>
      <c r="D217" s="195"/>
      <c r="E217" s="195"/>
      <c r="F217" s="195"/>
      <c r="G217" s="196"/>
    </row>
    <row r="218" spans="1:7">
      <c r="A218" s="64" t="s">
        <v>1</v>
      </c>
      <c r="B218" s="23" t="s">
        <v>422</v>
      </c>
      <c r="C218" s="23" t="s">
        <v>423</v>
      </c>
      <c r="D218" s="23" t="s">
        <v>424</v>
      </c>
      <c r="E218" s="23" t="s">
        <v>425</v>
      </c>
      <c r="F218" s="23" t="s">
        <v>426</v>
      </c>
      <c r="G218" s="65" t="s">
        <v>427</v>
      </c>
    </row>
    <row r="219" spans="1:7">
      <c r="A219" s="197" t="s">
        <v>143</v>
      </c>
      <c r="B219" s="199" t="s">
        <v>144</v>
      </c>
      <c r="C219" s="17" t="s">
        <v>629</v>
      </c>
      <c r="D219" s="17" t="s">
        <v>429</v>
      </c>
      <c r="E219" s="18">
        <v>1</v>
      </c>
      <c r="F219" s="177" t="s">
        <v>630</v>
      </c>
      <c r="G219" s="192">
        <f>'Sprint Backlog - Antiguo'!G54*4</f>
        <v>20</v>
      </c>
    </row>
    <row r="220" spans="1:7">
      <c r="A220" s="197"/>
      <c r="B220" s="199"/>
      <c r="C220" s="17" t="s">
        <v>631</v>
      </c>
      <c r="D220" s="17" t="s">
        <v>432</v>
      </c>
      <c r="E220" s="18">
        <v>7</v>
      </c>
      <c r="F220" s="177"/>
      <c r="G220" s="192"/>
    </row>
    <row r="221" spans="1:7">
      <c r="A221" s="197"/>
      <c r="B221" s="199"/>
      <c r="C221" s="17" t="s">
        <v>632</v>
      </c>
      <c r="D221" s="17" t="s">
        <v>434</v>
      </c>
      <c r="E221" s="18">
        <v>9</v>
      </c>
      <c r="F221" s="177"/>
      <c r="G221" s="192"/>
    </row>
    <row r="222" spans="1:7">
      <c r="A222" s="197"/>
      <c r="B222" s="199"/>
      <c r="C222" s="17" t="s">
        <v>633</v>
      </c>
      <c r="D222" s="17" t="s">
        <v>436</v>
      </c>
      <c r="E222" s="18">
        <v>2</v>
      </c>
      <c r="F222" s="177"/>
      <c r="G222" s="192"/>
    </row>
    <row r="223" spans="1:7">
      <c r="A223" s="197"/>
      <c r="B223" s="199"/>
      <c r="C223" s="17" t="s">
        <v>634</v>
      </c>
      <c r="D223" s="17" t="s">
        <v>438</v>
      </c>
      <c r="E223" s="18">
        <v>1</v>
      </c>
      <c r="F223" s="177"/>
      <c r="G223" s="192"/>
    </row>
    <row r="224" spans="1:7">
      <c r="A224" s="197" t="s">
        <v>147</v>
      </c>
      <c r="B224" s="177" t="s">
        <v>148</v>
      </c>
      <c r="C224" s="23" t="s">
        <v>423</v>
      </c>
      <c r="D224" s="23" t="s">
        <v>424</v>
      </c>
      <c r="E224" s="23" t="s">
        <v>425</v>
      </c>
      <c r="F224" s="23" t="s">
        <v>426</v>
      </c>
      <c r="G224" s="65" t="s">
        <v>427</v>
      </c>
    </row>
    <row r="225" spans="1:7">
      <c r="A225" s="197"/>
      <c r="B225" s="177"/>
      <c r="C225" s="17" t="s">
        <v>635</v>
      </c>
      <c r="D225" s="17" t="s">
        <v>429</v>
      </c>
      <c r="E225" s="18">
        <v>3</v>
      </c>
      <c r="F225" s="177" t="s">
        <v>636</v>
      </c>
      <c r="G225" s="192">
        <f>'Sprint Backlog - Antiguo'!G55*4</f>
        <v>32</v>
      </c>
    </row>
    <row r="226" spans="1:7">
      <c r="A226" s="197"/>
      <c r="B226" s="177"/>
      <c r="C226" s="17" t="s">
        <v>637</v>
      </c>
      <c r="D226" s="17" t="s">
        <v>432</v>
      </c>
      <c r="E226" s="18">
        <v>8</v>
      </c>
      <c r="F226" s="177"/>
      <c r="G226" s="192"/>
    </row>
    <row r="227" spans="1:7">
      <c r="A227" s="197"/>
      <c r="B227" s="177"/>
      <c r="C227" s="53" t="s">
        <v>638</v>
      </c>
      <c r="D227" s="17" t="s">
        <v>434</v>
      </c>
      <c r="E227" s="18">
        <v>19</v>
      </c>
      <c r="F227" s="177"/>
      <c r="G227" s="192"/>
    </row>
    <row r="228" spans="1:7">
      <c r="A228" s="197"/>
      <c r="B228" s="177"/>
      <c r="C228" s="53" t="s">
        <v>639</v>
      </c>
      <c r="D228" s="17" t="s">
        <v>436</v>
      </c>
      <c r="E228" s="18">
        <v>2</v>
      </c>
      <c r="F228" s="177"/>
      <c r="G228" s="192"/>
    </row>
    <row r="229" spans="1:7">
      <c r="A229" s="197"/>
      <c r="B229" s="177"/>
      <c r="C229" s="17" t="s">
        <v>640</v>
      </c>
      <c r="D229" s="17" t="s">
        <v>438</v>
      </c>
      <c r="E229" s="18">
        <v>1</v>
      </c>
      <c r="F229" s="177"/>
      <c r="G229" s="192"/>
    </row>
    <row r="230" spans="1:7">
      <c r="A230" s="197" t="s">
        <v>151</v>
      </c>
      <c r="B230" s="177" t="s">
        <v>152</v>
      </c>
      <c r="C230" s="23" t="s">
        <v>423</v>
      </c>
      <c r="D230" s="23" t="s">
        <v>424</v>
      </c>
      <c r="E230" s="23" t="s">
        <v>425</v>
      </c>
      <c r="F230" s="23" t="s">
        <v>426</v>
      </c>
      <c r="G230" s="65" t="s">
        <v>427</v>
      </c>
    </row>
    <row r="231" spans="1:7">
      <c r="A231" s="197"/>
      <c r="B231" s="177"/>
      <c r="C231" s="17" t="s">
        <v>641</v>
      </c>
      <c r="D231" s="17" t="s">
        <v>429</v>
      </c>
      <c r="E231" s="18">
        <v>1</v>
      </c>
      <c r="F231" s="177" t="s">
        <v>642</v>
      </c>
      <c r="G231" s="192">
        <f>'Sprint Backlog - Antiguo'!G56*4</f>
        <v>20</v>
      </c>
    </row>
    <row r="232" spans="1:7">
      <c r="A232" s="197"/>
      <c r="B232" s="177"/>
      <c r="C232" s="17" t="s">
        <v>643</v>
      </c>
      <c r="D232" s="17" t="s">
        <v>432</v>
      </c>
      <c r="E232" s="18">
        <v>7</v>
      </c>
      <c r="F232" s="177"/>
      <c r="G232" s="192"/>
    </row>
    <row r="233" spans="1:7">
      <c r="A233" s="197"/>
      <c r="B233" s="177"/>
      <c r="C233" s="53" t="s">
        <v>644</v>
      </c>
      <c r="D233" s="17" t="s">
        <v>434</v>
      </c>
      <c r="E233" s="18">
        <v>9</v>
      </c>
      <c r="F233" s="177"/>
      <c r="G233" s="192"/>
    </row>
    <row r="234" spans="1:7">
      <c r="A234" s="197"/>
      <c r="B234" s="177"/>
      <c r="C234" s="53" t="s">
        <v>645</v>
      </c>
      <c r="D234" s="17" t="s">
        <v>436</v>
      </c>
      <c r="E234" s="18">
        <v>2</v>
      </c>
      <c r="F234" s="177"/>
      <c r="G234" s="192"/>
    </row>
    <row r="235" spans="1:7">
      <c r="A235" s="197"/>
      <c r="B235" s="177"/>
      <c r="C235" s="17" t="s">
        <v>646</v>
      </c>
      <c r="D235" s="17" t="s">
        <v>438</v>
      </c>
      <c r="E235" s="18">
        <v>1</v>
      </c>
      <c r="F235" s="177"/>
      <c r="G235" s="192"/>
    </row>
    <row r="236" spans="1:7">
      <c r="A236" s="197" t="s">
        <v>159</v>
      </c>
      <c r="B236" s="177" t="s">
        <v>160</v>
      </c>
      <c r="C236" s="23" t="s">
        <v>423</v>
      </c>
      <c r="D236" s="23" t="s">
        <v>424</v>
      </c>
      <c r="E236" s="23" t="s">
        <v>425</v>
      </c>
      <c r="F236" s="23" t="s">
        <v>426</v>
      </c>
      <c r="G236" s="65" t="s">
        <v>427</v>
      </c>
    </row>
    <row r="237" spans="1:7">
      <c r="A237" s="197"/>
      <c r="B237" s="177"/>
      <c r="C237" s="17" t="s">
        <v>647</v>
      </c>
      <c r="D237" s="17" t="s">
        <v>429</v>
      </c>
      <c r="E237" s="18">
        <v>2</v>
      </c>
      <c r="F237" s="177" t="s">
        <v>648</v>
      </c>
      <c r="G237" s="192">
        <f>'Sprint Backlog - Antiguo'!G57*4</f>
        <v>20</v>
      </c>
    </row>
    <row r="238" spans="1:7">
      <c r="A238" s="197"/>
      <c r="B238" s="177"/>
      <c r="C238" s="17" t="s">
        <v>649</v>
      </c>
      <c r="D238" s="17" t="s">
        <v>432</v>
      </c>
      <c r="E238" s="18">
        <v>7</v>
      </c>
      <c r="F238" s="177"/>
      <c r="G238" s="192"/>
    </row>
    <row r="239" spans="1:7">
      <c r="A239" s="197"/>
      <c r="B239" s="177"/>
      <c r="C239" s="17" t="s">
        <v>650</v>
      </c>
      <c r="D239" s="17" t="s">
        <v>434</v>
      </c>
      <c r="E239" s="18">
        <v>9</v>
      </c>
      <c r="F239" s="177"/>
      <c r="G239" s="192"/>
    </row>
    <row r="240" spans="1:7">
      <c r="A240" s="197"/>
      <c r="B240" s="177"/>
      <c r="C240" s="17" t="s">
        <v>651</v>
      </c>
      <c r="D240" s="17" t="s">
        <v>436</v>
      </c>
      <c r="E240" s="18">
        <v>1</v>
      </c>
      <c r="F240" s="177"/>
      <c r="G240" s="192"/>
    </row>
    <row r="241" spans="1:7">
      <c r="A241" s="198"/>
      <c r="B241" s="201"/>
      <c r="C241" s="67" t="s">
        <v>652</v>
      </c>
      <c r="D241" s="67" t="s">
        <v>438</v>
      </c>
      <c r="E241" s="66">
        <v>1</v>
      </c>
      <c r="F241" s="201"/>
      <c r="G241" s="193"/>
    </row>
    <row r="243" spans="1:7">
      <c r="A243" s="194" t="s">
        <v>653</v>
      </c>
      <c r="B243" s="195"/>
      <c r="C243" s="195"/>
      <c r="D243" s="195"/>
      <c r="E243" s="195"/>
      <c r="F243" s="195"/>
      <c r="G243" s="196"/>
    </row>
    <row r="244" spans="1:7">
      <c r="A244" s="64" t="s">
        <v>1</v>
      </c>
      <c r="B244" s="23" t="s">
        <v>422</v>
      </c>
      <c r="C244" s="23" t="s">
        <v>423</v>
      </c>
      <c r="D244" s="23" t="s">
        <v>424</v>
      </c>
      <c r="E244" s="23" t="s">
        <v>425</v>
      </c>
      <c r="F244" s="23" t="s">
        <v>426</v>
      </c>
      <c r="G244" s="65" t="s">
        <v>427</v>
      </c>
    </row>
    <row r="245" spans="1:7">
      <c r="A245" s="197" t="s">
        <v>155</v>
      </c>
      <c r="B245" s="177" t="s">
        <v>156</v>
      </c>
      <c r="C245" s="17" t="s">
        <v>654</v>
      </c>
      <c r="D245" s="17" t="s">
        <v>429</v>
      </c>
      <c r="E245" s="18">
        <v>1</v>
      </c>
      <c r="F245" s="177" t="s">
        <v>655</v>
      </c>
      <c r="G245" s="192">
        <f>'Sprint Backlog - Antiguo'!G61*4</f>
        <v>32</v>
      </c>
    </row>
    <row r="246" spans="1:7">
      <c r="A246" s="197"/>
      <c r="B246" s="177"/>
      <c r="C246" s="53" t="s">
        <v>656</v>
      </c>
      <c r="D246" s="17" t="s">
        <v>432</v>
      </c>
      <c r="E246" s="18">
        <v>7</v>
      </c>
      <c r="F246" s="177"/>
      <c r="G246" s="192"/>
    </row>
    <row r="247" spans="1:7">
      <c r="A247" s="197"/>
      <c r="B247" s="177"/>
      <c r="C247" s="17" t="s">
        <v>657</v>
      </c>
      <c r="D247" s="17" t="s">
        <v>434</v>
      </c>
      <c r="E247" s="18">
        <v>21</v>
      </c>
      <c r="F247" s="177"/>
      <c r="G247" s="192"/>
    </row>
    <row r="248" spans="1:7">
      <c r="A248" s="197"/>
      <c r="B248" s="177"/>
      <c r="C248" s="17" t="s">
        <v>658</v>
      </c>
      <c r="D248" s="17" t="s">
        <v>436</v>
      </c>
      <c r="E248" s="18">
        <v>2</v>
      </c>
      <c r="F248" s="177"/>
      <c r="G248" s="192"/>
    </row>
    <row r="249" spans="1:7">
      <c r="A249" s="197"/>
      <c r="B249" s="177"/>
      <c r="C249" s="17" t="s">
        <v>659</v>
      </c>
      <c r="D249" s="17" t="s">
        <v>438</v>
      </c>
      <c r="E249" s="18">
        <v>1</v>
      </c>
      <c r="F249" s="177"/>
      <c r="G249" s="192"/>
    </row>
    <row r="250" spans="1:7">
      <c r="A250" s="197" t="s">
        <v>164</v>
      </c>
      <c r="B250" s="199" t="s">
        <v>165</v>
      </c>
      <c r="C250" s="23" t="s">
        <v>423</v>
      </c>
      <c r="D250" s="23" t="s">
        <v>424</v>
      </c>
      <c r="E250" s="23" t="s">
        <v>425</v>
      </c>
      <c r="F250" s="23" t="s">
        <v>426</v>
      </c>
      <c r="G250" s="65" t="s">
        <v>427</v>
      </c>
    </row>
    <row r="251" spans="1:7">
      <c r="A251" s="197"/>
      <c r="B251" s="199"/>
      <c r="C251" s="17" t="s">
        <v>660</v>
      </c>
      <c r="D251" s="17" t="s">
        <v>429</v>
      </c>
      <c r="E251" s="18">
        <v>2</v>
      </c>
      <c r="F251" s="177" t="s">
        <v>661</v>
      </c>
      <c r="G251" s="192">
        <f>'Sprint Backlog - Antiguo'!G62*4</f>
        <v>20</v>
      </c>
    </row>
    <row r="252" spans="1:7">
      <c r="A252" s="197"/>
      <c r="B252" s="199"/>
      <c r="C252" s="17" t="s">
        <v>662</v>
      </c>
      <c r="D252" s="17" t="s">
        <v>432</v>
      </c>
      <c r="E252" s="18">
        <v>7</v>
      </c>
      <c r="F252" s="177"/>
      <c r="G252" s="192"/>
    </row>
    <row r="253" spans="1:7">
      <c r="A253" s="197"/>
      <c r="B253" s="199"/>
      <c r="C253" s="53" t="s">
        <v>663</v>
      </c>
      <c r="D253" s="17" t="s">
        <v>434</v>
      </c>
      <c r="E253" s="18">
        <v>9</v>
      </c>
      <c r="F253" s="177"/>
      <c r="G253" s="192"/>
    </row>
    <row r="254" spans="1:7">
      <c r="A254" s="197"/>
      <c r="B254" s="199"/>
      <c r="C254" s="17" t="s">
        <v>664</v>
      </c>
      <c r="D254" s="17" t="s">
        <v>436</v>
      </c>
      <c r="E254" s="18">
        <v>1</v>
      </c>
      <c r="F254" s="177"/>
      <c r="G254" s="192"/>
    </row>
    <row r="255" spans="1:7">
      <c r="A255" s="197"/>
      <c r="B255" s="199"/>
      <c r="C255" s="17" t="s">
        <v>665</v>
      </c>
      <c r="D255" s="17" t="s">
        <v>438</v>
      </c>
      <c r="E255" s="18">
        <v>1</v>
      </c>
      <c r="F255" s="177"/>
      <c r="G255" s="192"/>
    </row>
    <row r="256" spans="1:7">
      <c r="A256" s="197" t="s">
        <v>168</v>
      </c>
      <c r="B256" s="177" t="s">
        <v>169</v>
      </c>
      <c r="C256" s="23" t="s">
        <v>423</v>
      </c>
      <c r="D256" s="23" t="s">
        <v>424</v>
      </c>
      <c r="E256" s="23" t="s">
        <v>425</v>
      </c>
      <c r="F256" s="23" t="s">
        <v>426</v>
      </c>
      <c r="G256" s="65" t="s">
        <v>427</v>
      </c>
    </row>
    <row r="257" spans="1:7">
      <c r="A257" s="197"/>
      <c r="B257" s="177"/>
      <c r="C257" s="17" t="s">
        <v>666</v>
      </c>
      <c r="D257" s="17" t="s">
        <v>429</v>
      </c>
      <c r="E257" s="18">
        <v>2</v>
      </c>
      <c r="F257" s="177" t="s">
        <v>667</v>
      </c>
      <c r="G257" s="192">
        <f>'Sprint Backlog - Antiguo'!G63*4</f>
        <v>12</v>
      </c>
    </row>
    <row r="258" spans="1:7">
      <c r="A258" s="197"/>
      <c r="B258" s="177"/>
      <c r="C258" s="17" t="s">
        <v>668</v>
      </c>
      <c r="D258" s="17" t="s">
        <v>432</v>
      </c>
      <c r="E258" s="18">
        <v>4</v>
      </c>
      <c r="F258" s="177"/>
      <c r="G258" s="192"/>
    </row>
    <row r="259" spans="1:7">
      <c r="A259" s="197"/>
      <c r="B259" s="177"/>
      <c r="C259" s="53" t="s">
        <v>669</v>
      </c>
      <c r="D259" s="17" t="s">
        <v>434</v>
      </c>
      <c r="E259" s="18">
        <v>4</v>
      </c>
      <c r="F259" s="177"/>
      <c r="G259" s="192"/>
    </row>
    <row r="260" spans="1:7">
      <c r="A260" s="197"/>
      <c r="B260" s="177"/>
      <c r="C260" s="53" t="s">
        <v>670</v>
      </c>
      <c r="D260" s="17" t="s">
        <v>436</v>
      </c>
      <c r="E260" s="18">
        <v>1</v>
      </c>
      <c r="F260" s="177"/>
      <c r="G260" s="192"/>
    </row>
    <row r="261" spans="1:7">
      <c r="A261" s="197"/>
      <c r="B261" s="177"/>
      <c r="C261" s="17" t="s">
        <v>671</v>
      </c>
      <c r="D261" s="17" t="s">
        <v>438</v>
      </c>
      <c r="E261" s="18">
        <v>1</v>
      </c>
      <c r="F261" s="177"/>
      <c r="G261" s="192"/>
    </row>
    <row r="262" spans="1:7">
      <c r="A262" s="197" t="s">
        <v>172</v>
      </c>
      <c r="B262" s="177" t="s">
        <v>173</v>
      </c>
      <c r="C262" s="23" t="s">
        <v>423</v>
      </c>
      <c r="D262" s="23" t="s">
        <v>424</v>
      </c>
      <c r="E262" s="23" t="s">
        <v>425</v>
      </c>
      <c r="F262" s="23" t="s">
        <v>426</v>
      </c>
      <c r="G262" s="65" t="s">
        <v>427</v>
      </c>
    </row>
    <row r="263" spans="1:7">
      <c r="A263" s="197"/>
      <c r="B263" s="177"/>
      <c r="C263" s="17" t="s">
        <v>672</v>
      </c>
      <c r="D263" s="17" t="s">
        <v>429</v>
      </c>
      <c r="E263" s="18">
        <v>2</v>
      </c>
      <c r="F263" s="177" t="s">
        <v>673</v>
      </c>
      <c r="G263" s="192">
        <f>'Sprint Backlog - Antiguo'!G64*4</f>
        <v>20</v>
      </c>
    </row>
    <row r="264" spans="1:7">
      <c r="A264" s="197"/>
      <c r="B264" s="177"/>
      <c r="C264" s="17" t="s">
        <v>674</v>
      </c>
      <c r="D264" s="17" t="s">
        <v>432</v>
      </c>
      <c r="E264" s="18">
        <v>8</v>
      </c>
      <c r="F264" s="177"/>
      <c r="G264" s="192"/>
    </row>
    <row r="265" spans="1:7">
      <c r="A265" s="197"/>
      <c r="B265" s="177"/>
      <c r="C265" s="17" t="s">
        <v>675</v>
      </c>
      <c r="D265" s="17" t="s">
        <v>434</v>
      </c>
      <c r="E265" s="18">
        <v>8</v>
      </c>
      <c r="F265" s="177"/>
      <c r="G265" s="192"/>
    </row>
    <row r="266" spans="1:7">
      <c r="A266" s="197"/>
      <c r="B266" s="177"/>
      <c r="C266" s="17" t="s">
        <v>676</v>
      </c>
      <c r="D266" s="17" t="s">
        <v>436</v>
      </c>
      <c r="E266" s="18">
        <v>1</v>
      </c>
      <c r="F266" s="177"/>
      <c r="G266" s="192"/>
    </row>
    <row r="267" spans="1:7">
      <c r="A267" s="198"/>
      <c r="B267" s="201"/>
      <c r="C267" s="67" t="s">
        <v>677</v>
      </c>
      <c r="D267" s="67" t="s">
        <v>438</v>
      </c>
      <c r="E267" s="66">
        <v>1</v>
      </c>
      <c r="F267" s="201"/>
      <c r="G267" s="193"/>
    </row>
    <row r="269" spans="1:7">
      <c r="A269" s="194" t="s">
        <v>678</v>
      </c>
      <c r="B269" s="195"/>
      <c r="C269" s="195"/>
      <c r="D269" s="195"/>
      <c r="E269" s="195"/>
      <c r="F269" s="195"/>
      <c r="G269" s="196"/>
    </row>
    <row r="270" spans="1:7">
      <c r="A270" s="64" t="s">
        <v>1</v>
      </c>
      <c r="B270" s="23" t="s">
        <v>422</v>
      </c>
      <c r="C270" s="23" t="s">
        <v>423</v>
      </c>
      <c r="D270" s="23" t="s">
        <v>424</v>
      </c>
      <c r="E270" s="23" t="s">
        <v>425</v>
      </c>
      <c r="F270" s="23" t="s">
        <v>426</v>
      </c>
      <c r="G270" s="65" t="s">
        <v>427</v>
      </c>
    </row>
    <row r="271" spans="1:7">
      <c r="A271" s="197" t="s">
        <v>177</v>
      </c>
      <c r="B271" s="177" t="s">
        <v>178</v>
      </c>
      <c r="C271" s="17" t="s">
        <v>679</v>
      </c>
      <c r="D271" s="17" t="s">
        <v>429</v>
      </c>
      <c r="E271" s="18">
        <v>2</v>
      </c>
      <c r="F271" s="177" t="s">
        <v>680</v>
      </c>
      <c r="G271" s="192">
        <f>'Sprint Backlog - Antiguo'!G68*4</f>
        <v>20</v>
      </c>
    </row>
    <row r="272" spans="1:7">
      <c r="A272" s="197"/>
      <c r="B272" s="177"/>
      <c r="C272" s="17" t="s">
        <v>681</v>
      </c>
      <c r="D272" s="17" t="s">
        <v>432</v>
      </c>
      <c r="E272" s="18">
        <v>7</v>
      </c>
      <c r="F272" s="177"/>
      <c r="G272" s="192"/>
    </row>
    <row r="273" spans="1:7">
      <c r="A273" s="197"/>
      <c r="B273" s="177"/>
      <c r="C273" s="106" t="s">
        <v>682</v>
      </c>
      <c r="D273" s="17" t="s">
        <v>434</v>
      </c>
      <c r="E273" s="18">
        <v>9</v>
      </c>
      <c r="F273" s="177"/>
      <c r="G273" s="192"/>
    </row>
    <row r="274" spans="1:7">
      <c r="A274" s="197"/>
      <c r="B274" s="177"/>
      <c r="C274" s="106" t="s">
        <v>683</v>
      </c>
      <c r="D274" s="17" t="s">
        <v>436</v>
      </c>
      <c r="E274" s="18">
        <v>1</v>
      </c>
      <c r="F274" s="177"/>
      <c r="G274" s="192"/>
    </row>
    <row r="275" spans="1:7">
      <c r="A275" s="197"/>
      <c r="B275" s="177"/>
      <c r="C275" s="17" t="s">
        <v>684</v>
      </c>
      <c r="D275" s="17" t="s">
        <v>438</v>
      </c>
      <c r="E275" s="18">
        <v>1</v>
      </c>
      <c r="F275" s="177"/>
      <c r="G275" s="192"/>
    </row>
    <row r="276" spans="1:7">
      <c r="A276" s="197" t="s">
        <v>181</v>
      </c>
      <c r="B276" s="177" t="s">
        <v>182</v>
      </c>
      <c r="C276" s="23" t="s">
        <v>423</v>
      </c>
      <c r="D276" s="23" t="s">
        <v>424</v>
      </c>
      <c r="E276" s="23" t="s">
        <v>425</v>
      </c>
      <c r="F276" s="23" t="s">
        <v>426</v>
      </c>
      <c r="G276" s="65" t="s">
        <v>427</v>
      </c>
    </row>
    <row r="277" spans="1:7">
      <c r="A277" s="197"/>
      <c r="B277" s="177"/>
      <c r="C277" s="17" t="s">
        <v>685</v>
      </c>
      <c r="D277" s="17" t="s">
        <v>429</v>
      </c>
      <c r="E277" s="18">
        <v>1</v>
      </c>
      <c r="F277" s="177" t="s">
        <v>686</v>
      </c>
      <c r="G277" s="192">
        <f>'Sprint Backlog - Antiguo'!G69*4</f>
        <v>20</v>
      </c>
    </row>
    <row r="278" spans="1:7">
      <c r="A278" s="197"/>
      <c r="B278" s="177"/>
      <c r="C278" s="17" t="s">
        <v>687</v>
      </c>
      <c r="D278" s="17" t="s">
        <v>432</v>
      </c>
      <c r="E278" s="18">
        <v>8</v>
      </c>
      <c r="F278" s="177"/>
      <c r="G278" s="192"/>
    </row>
    <row r="279" spans="1:7">
      <c r="A279" s="197"/>
      <c r="B279" s="177"/>
      <c r="C279" s="106" t="s">
        <v>688</v>
      </c>
      <c r="D279" s="17" t="s">
        <v>434</v>
      </c>
      <c r="E279" s="18">
        <v>8</v>
      </c>
      <c r="F279" s="177"/>
      <c r="G279" s="192"/>
    </row>
    <row r="280" spans="1:7">
      <c r="A280" s="197"/>
      <c r="B280" s="177"/>
      <c r="C280" s="17" t="s">
        <v>689</v>
      </c>
      <c r="D280" s="17" t="s">
        <v>436</v>
      </c>
      <c r="E280" s="18">
        <v>2</v>
      </c>
      <c r="F280" s="177"/>
      <c r="G280" s="192"/>
    </row>
    <row r="281" spans="1:7">
      <c r="A281" s="197"/>
      <c r="B281" s="177"/>
      <c r="C281" s="17" t="s">
        <v>690</v>
      </c>
      <c r="D281" s="17" t="s">
        <v>438</v>
      </c>
      <c r="E281" s="18">
        <v>1</v>
      </c>
      <c r="F281" s="177"/>
      <c r="G281" s="192"/>
    </row>
    <row r="282" spans="1:7">
      <c r="A282" s="197" t="s">
        <v>185</v>
      </c>
      <c r="B282" s="177" t="s">
        <v>186</v>
      </c>
      <c r="C282" s="23" t="s">
        <v>423</v>
      </c>
      <c r="D282" s="23" t="s">
        <v>424</v>
      </c>
      <c r="E282" s="23" t="s">
        <v>425</v>
      </c>
      <c r="F282" s="23" t="s">
        <v>426</v>
      </c>
      <c r="G282" s="65" t="s">
        <v>427</v>
      </c>
    </row>
    <row r="283" spans="1:7">
      <c r="A283" s="197"/>
      <c r="B283" s="177"/>
      <c r="C283" s="17"/>
      <c r="D283" s="17" t="s">
        <v>429</v>
      </c>
      <c r="E283" s="18"/>
      <c r="F283" s="177" t="s">
        <v>691</v>
      </c>
      <c r="G283" s="192">
        <f>'Sprint Backlog - Antiguo'!G70*4</f>
        <v>12</v>
      </c>
    </row>
    <row r="284" spans="1:7">
      <c r="A284" s="197"/>
      <c r="B284" s="177"/>
      <c r="C284" s="17" t="s">
        <v>692</v>
      </c>
      <c r="D284" s="17" t="s">
        <v>432</v>
      </c>
      <c r="E284" s="18">
        <v>3</v>
      </c>
      <c r="F284" s="177"/>
      <c r="G284" s="192"/>
    </row>
    <row r="285" spans="1:7" ht="27.75">
      <c r="A285" s="197"/>
      <c r="B285" s="177"/>
      <c r="C285" s="17" t="s">
        <v>693</v>
      </c>
      <c r="D285" s="17" t="s">
        <v>434</v>
      </c>
      <c r="E285" s="18">
        <v>7</v>
      </c>
      <c r="F285" s="177"/>
      <c r="G285" s="192"/>
    </row>
    <row r="286" spans="1:7">
      <c r="A286" s="197"/>
      <c r="B286" s="177"/>
      <c r="C286" s="17" t="s">
        <v>694</v>
      </c>
      <c r="D286" s="17" t="s">
        <v>436</v>
      </c>
      <c r="E286" s="18">
        <v>1</v>
      </c>
      <c r="F286" s="177"/>
      <c r="G286" s="192"/>
    </row>
    <row r="287" spans="1:7">
      <c r="A287" s="197"/>
      <c r="B287" s="177"/>
      <c r="C287" s="17" t="s">
        <v>695</v>
      </c>
      <c r="D287" s="17" t="s">
        <v>438</v>
      </c>
      <c r="E287" s="18">
        <v>1</v>
      </c>
      <c r="F287" s="177"/>
      <c r="G287" s="192"/>
    </row>
    <row r="288" spans="1:7">
      <c r="A288" s="197" t="s">
        <v>190</v>
      </c>
      <c r="B288" s="199" t="s">
        <v>191</v>
      </c>
      <c r="C288" s="23" t="s">
        <v>423</v>
      </c>
      <c r="D288" s="23" t="s">
        <v>424</v>
      </c>
      <c r="E288" s="23" t="s">
        <v>425</v>
      </c>
      <c r="F288" s="23" t="s">
        <v>426</v>
      </c>
      <c r="G288" s="65" t="s">
        <v>427</v>
      </c>
    </row>
    <row r="289" spans="1:7">
      <c r="A289" s="197"/>
      <c r="B289" s="199"/>
      <c r="C289" s="17" t="s">
        <v>696</v>
      </c>
      <c r="D289" s="17" t="s">
        <v>429</v>
      </c>
      <c r="E289" s="18">
        <v>1</v>
      </c>
      <c r="F289" s="177" t="s">
        <v>697</v>
      </c>
      <c r="G289" s="192">
        <f>'Sprint Backlog - Antiguo'!G71*4</f>
        <v>20</v>
      </c>
    </row>
    <row r="290" spans="1:7">
      <c r="A290" s="197"/>
      <c r="B290" s="199"/>
      <c r="C290" s="17" t="s">
        <v>698</v>
      </c>
      <c r="D290" s="17" t="s">
        <v>432</v>
      </c>
      <c r="E290" s="18">
        <v>6</v>
      </c>
      <c r="F290" s="177"/>
      <c r="G290" s="192"/>
    </row>
    <row r="291" spans="1:7">
      <c r="A291" s="197"/>
      <c r="B291" s="199"/>
      <c r="C291" s="17" t="s">
        <v>699</v>
      </c>
      <c r="D291" s="17" t="s">
        <v>434</v>
      </c>
      <c r="E291" s="18">
        <v>10</v>
      </c>
      <c r="F291" s="177"/>
      <c r="G291" s="192"/>
    </row>
    <row r="292" spans="1:7">
      <c r="A292" s="197"/>
      <c r="B292" s="199"/>
      <c r="C292" s="17" t="s">
        <v>700</v>
      </c>
      <c r="D292" s="17" t="s">
        <v>436</v>
      </c>
      <c r="E292" s="18">
        <v>2</v>
      </c>
      <c r="F292" s="177"/>
      <c r="G292" s="192"/>
    </row>
    <row r="293" spans="1:7">
      <c r="A293" s="197"/>
      <c r="B293" s="199"/>
      <c r="C293" s="17" t="s">
        <v>701</v>
      </c>
      <c r="D293" s="17" t="s">
        <v>438</v>
      </c>
      <c r="E293" s="18">
        <v>1</v>
      </c>
      <c r="F293" s="177"/>
      <c r="G293" s="192"/>
    </row>
    <row r="294" spans="1:7">
      <c r="A294" s="197" t="s">
        <v>195</v>
      </c>
      <c r="B294" s="177" t="s">
        <v>196</v>
      </c>
      <c r="C294" s="23" t="s">
        <v>423</v>
      </c>
      <c r="D294" s="23" t="s">
        <v>424</v>
      </c>
      <c r="E294" s="23" t="s">
        <v>425</v>
      </c>
      <c r="F294" s="23" t="s">
        <v>426</v>
      </c>
      <c r="G294" s="65" t="s">
        <v>427</v>
      </c>
    </row>
    <row r="295" spans="1:7">
      <c r="A295" s="197"/>
      <c r="B295" s="177"/>
      <c r="C295" s="17" t="s">
        <v>702</v>
      </c>
      <c r="D295" s="17" t="s">
        <v>429</v>
      </c>
      <c r="E295" s="18">
        <v>1</v>
      </c>
      <c r="F295" s="177" t="s">
        <v>703</v>
      </c>
      <c r="G295" s="192">
        <f>'Sprint Backlog - Antiguo'!G72*4</f>
        <v>8</v>
      </c>
    </row>
    <row r="296" spans="1:7">
      <c r="A296" s="197"/>
      <c r="B296" s="177"/>
      <c r="C296" s="17" t="s">
        <v>704</v>
      </c>
      <c r="D296" s="17" t="s">
        <v>432</v>
      </c>
      <c r="E296" s="18">
        <v>4</v>
      </c>
      <c r="F296" s="177"/>
      <c r="G296" s="192"/>
    </row>
    <row r="297" spans="1:7">
      <c r="A297" s="197"/>
      <c r="B297" s="177"/>
      <c r="C297" s="53" t="s">
        <v>705</v>
      </c>
      <c r="D297" s="17" t="s">
        <v>434</v>
      </c>
      <c r="E297" s="18">
        <v>1</v>
      </c>
      <c r="F297" s="177"/>
      <c r="G297" s="192"/>
    </row>
    <row r="298" spans="1:7">
      <c r="A298" s="197"/>
      <c r="B298" s="177"/>
      <c r="C298" s="53" t="s">
        <v>706</v>
      </c>
      <c r="D298" s="17" t="s">
        <v>436</v>
      </c>
      <c r="E298" s="18">
        <v>1</v>
      </c>
      <c r="F298" s="177"/>
      <c r="G298" s="192"/>
    </row>
    <row r="299" spans="1:7">
      <c r="A299" s="198"/>
      <c r="B299" s="201"/>
      <c r="C299" s="67" t="s">
        <v>707</v>
      </c>
      <c r="D299" s="67" t="s">
        <v>438</v>
      </c>
      <c r="E299" s="66">
        <v>1</v>
      </c>
      <c r="F299" s="201"/>
      <c r="G299" s="193"/>
    </row>
    <row r="301" spans="1:7">
      <c r="A301" s="194" t="s">
        <v>708</v>
      </c>
      <c r="B301" s="195"/>
      <c r="C301" s="195"/>
      <c r="D301" s="195"/>
      <c r="E301" s="195"/>
      <c r="F301" s="195"/>
      <c r="G301" s="196"/>
    </row>
    <row r="302" spans="1:7">
      <c r="A302" s="64" t="s">
        <v>1</v>
      </c>
      <c r="B302" s="23" t="s">
        <v>422</v>
      </c>
      <c r="C302" s="23" t="s">
        <v>423</v>
      </c>
      <c r="D302" s="23" t="s">
        <v>424</v>
      </c>
      <c r="E302" s="23" t="s">
        <v>425</v>
      </c>
      <c r="F302" s="23" t="s">
        <v>426</v>
      </c>
      <c r="G302" s="65" t="s">
        <v>427</v>
      </c>
    </row>
    <row r="303" spans="1:7">
      <c r="A303" s="197" t="s">
        <v>200</v>
      </c>
      <c r="B303" s="177" t="s">
        <v>201</v>
      </c>
      <c r="C303" s="17" t="s">
        <v>709</v>
      </c>
      <c r="D303" s="17" t="s">
        <v>429</v>
      </c>
      <c r="E303" s="18">
        <v>2</v>
      </c>
      <c r="F303" s="177" t="s">
        <v>710</v>
      </c>
      <c r="G303" s="192">
        <f>'Sprint Backlog - Antiguo'!G76*4</f>
        <v>20</v>
      </c>
    </row>
    <row r="304" spans="1:7">
      <c r="A304" s="197"/>
      <c r="B304" s="177"/>
      <c r="C304" s="17" t="s">
        <v>711</v>
      </c>
      <c r="D304" s="17" t="s">
        <v>432</v>
      </c>
      <c r="E304" s="18">
        <v>20</v>
      </c>
      <c r="F304" s="177"/>
      <c r="G304" s="192"/>
    </row>
    <row r="305" spans="1:7">
      <c r="A305" s="197"/>
      <c r="B305" s="177"/>
      <c r="C305" s="17" t="s">
        <v>712</v>
      </c>
      <c r="D305" s="17" t="s">
        <v>434</v>
      </c>
      <c r="E305" s="18">
        <v>25</v>
      </c>
      <c r="F305" s="177"/>
      <c r="G305" s="192"/>
    </row>
    <row r="306" spans="1:7">
      <c r="A306" s="197"/>
      <c r="B306" s="177"/>
      <c r="C306" s="17" t="s">
        <v>713</v>
      </c>
      <c r="D306" s="17" t="s">
        <v>436</v>
      </c>
      <c r="E306" s="18">
        <v>3</v>
      </c>
      <c r="F306" s="177"/>
      <c r="G306" s="192"/>
    </row>
    <row r="307" spans="1:7">
      <c r="A307" s="197"/>
      <c r="B307" s="177"/>
      <c r="C307" s="17" t="s">
        <v>714</v>
      </c>
      <c r="D307" s="17" t="s">
        <v>438</v>
      </c>
      <c r="E307" s="18">
        <v>2</v>
      </c>
      <c r="F307" s="177"/>
      <c r="G307" s="192"/>
    </row>
    <row r="308" spans="1:7">
      <c r="A308" s="197" t="s">
        <v>205</v>
      </c>
      <c r="B308" s="199" t="s">
        <v>206</v>
      </c>
      <c r="C308" s="23" t="s">
        <v>423</v>
      </c>
      <c r="D308" s="23" t="s">
        <v>424</v>
      </c>
      <c r="E308" s="23" t="s">
        <v>425</v>
      </c>
      <c r="F308" s="23" t="s">
        <v>426</v>
      </c>
      <c r="G308" s="65" t="s">
        <v>427</v>
      </c>
    </row>
    <row r="309" spans="1:7">
      <c r="A309" s="197"/>
      <c r="B309" s="199"/>
      <c r="C309" s="53" t="s">
        <v>715</v>
      </c>
      <c r="D309" s="17" t="s">
        <v>429</v>
      </c>
      <c r="E309" s="18">
        <v>1</v>
      </c>
      <c r="F309" s="177" t="s">
        <v>716</v>
      </c>
      <c r="G309" s="192">
        <f>'Sprint Backlog - Antiguo'!G77*4</f>
        <v>4</v>
      </c>
    </row>
    <row r="310" spans="1:7">
      <c r="A310" s="197"/>
      <c r="B310" s="199"/>
      <c r="C310" s="17" t="s">
        <v>717</v>
      </c>
      <c r="D310" s="17" t="s">
        <v>432</v>
      </c>
      <c r="E310" s="18" t="s">
        <v>718</v>
      </c>
      <c r="F310" s="177"/>
      <c r="G310" s="192"/>
    </row>
    <row r="311" spans="1:7">
      <c r="A311" s="197"/>
      <c r="B311" s="199"/>
      <c r="C311" s="17" t="s">
        <v>719</v>
      </c>
      <c r="D311" s="17" t="s">
        <v>434</v>
      </c>
      <c r="E311" s="18">
        <v>2</v>
      </c>
      <c r="F311" s="177"/>
      <c r="G311" s="192"/>
    </row>
    <row r="312" spans="1:7">
      <c r="A312" s="197"/>
      <c r="B312" s="199"/>
      <c r="C312" s="17" t="s">
        <v>720</v>
      </c>
      <c r="D312" s="17" t="s">
        <v>436</v>
      </c>
      <c r="E312" s="18" t="s">
        <v>718</v>
      </c>
      <c r="F312" s="177"/>
      <c r="G312" s="192"/>
    </row>
    <row r="313" spans="1:7">
      <c r="A313" s="197"/>
      <c r="B313" s="199"/>
      <c r="C313" s="17" t="s">
        <v>499</v>
      </c>
      <c r="D313" s="17" t="s">
        <v>438</v>
      </c>
      <c r="E313" s="18">
        <v>1</v>
      </c>
      <c r="F313" s="177"/>
      <c r="G313" s="192"/>
    </row>
    <row r="314" spans="1:7">
      <c r="A314" s="197" t="s">
        <v>209</v>
      </c>
      <c r="B314" s="177" t="s">
        <v>210</v>
      </c>
      <c r="C314" s="23" t="s">
        <v>423</v>
      </c>
      <c r="D314" s="23" t="s">
        <v>424</v>
      </c>
      <c r="E314" s="23" t="s">
        <v>425</v>
      </c>
      <c r="F314" s="23" t="s">
        <v>426</v>
      </c>
      <c r="G314" s="65" t="s">
        <v>427</v>
      </c>
    </row>
    <row r="315" spans="1:7">
      <c r="A315" s="197"/>
      <c r="B315" s="177"/>
      <c r="C315" s="17" t="s">
        <v>721</v>
      </c>
      <c r="D315" s="17" t="s">
        <v>429</v>
      </c>
      <c r="E315" s="18">
        <v>1</v>
      </c>
      <c r="F315" s="177" t="s">
        <v>722</v>
      </c>
      <c r="G315" s="192">
        <f>'Sprint Backlog - Antiguo'!G78*4</f>
        <v>4</v>
      </c>
    </row>
    <row r="316" spans="1:7">
      <c r="A316" s="197"/>
      <c r="B316" s="177"/>
      <c r="C316" s="17" t="s">
        <v>723</v>
      </c>
      <c r="D316" s="17" t="s">
        <v>432</v>
      </c>
      <c r="E316" s="18">
        <v>1</v>
      </c>
      <c r="F316" s="177"/>
      <c r="G316" s="192"/>
    </row>
    <row r="317" spans="1:7">
      <c r="A317" s="197"/>
      <c r="B317" s="177"/>
      <c r="C317" s="58"/>
      <c r="D317" s="17" t="s">
        <v>434</v>
      </c>
      <c r="E317" s="18"/>
      <c r="F317" s="177"/>
      <c r="G317" s="192"/>
    </row>
    <row r="318" spans="1:7">
      <c r="A318" s="197"/>
      <c r="B318" s="177"/>
      <c r="C318" s="53" t="s">
        <v>724</v>
      </c>
      <c r="D318" s="17" t="s">
        <v>436</v>
      </c>
      <c r="E318" s="18">
        <v>1</v>
      </c>
      <c r="F318" s="177"/>
      <c r="G318" s="192"/>
    </row>
    <row r="319" spans="1:7">
      <c r="A319" s="197"/>
      <c r="B319" s="177"/>
      <c r="C319" s="53" t="s">
        <v>725</v>
      </c>
      <c r="D319" s="17" t="s">
        <v>438</v>
      </c>
      <c r="E319" s="18">
        <v>1</v>
      </c>
      <c r="F319" s="177"/>
      <c r="G319" s="192"/>
    </row>
    <row r="320" spans="1:7">
      <c r="A320" s="197" t="s">
        <v>214</v>
      </c>
      <c r="B320" s="177" t="s">
        <v>215</v>
      </c>
      <c r="C320" s="23" t="s">
        <v>423</v>
      </c>
      <c r="D320" s="23" t="s">
        <v>424</v>
      </c>
      <c r="E320" s="23" t="s">
        <v>425</v>
      </c>
      <c r="F320" s="23" t="s">
        <v>426</v>
      </c>
      <c r="G320" s="65" t="s">
        <v>427</v>
      </c>
    </row>
    <row r="321" spans="1:7">
      <c r="A321" s="197"/>
      <c r="B321" s="177"/>
      <c r="C321" s="17" t="s">
        <v>726</v>
      </c>
      <c r="D321" s="17" t="s">
        <v>429</v>
      </c>
      <c r="E321" s="18">
        <v>2</v>
      </c>
      <c r="F321" s="177" t="s">
        <v>727</v>
      </c>
      <c r="G321" s="192">
        <f>'Sprint Backlog - Antiguo'!G79*4</f>
        <v>12</v>
      </c>
    </row>
    <row r="322" spans="1:7">
      <c r="A322" s="197"/>
      <c r="B322" s="177"/>
      <c r="C322" s="17" t="s">
        <v>728</v>
      </c>
      <c r="D322" s="17" t="s">
        <v>432</v>
      </c>
      <c r="E322" s="18">
        <v>3</v>
      </c>
      <c r="F322" s="177"/>
      <c r="G322" s="192"/>
    </row>
    <row r="323" spans="1:7">
      <c r="A323" s="197"/>
      <c r="B323" s="177"/>
      <c r="C323" s="17" t="s">
        <v>729</v>
      </c>
      <c r="D323" s="17" t="s">
        <v>434</v>
      </c>
      <c r="E323" s="18">
        <v>5</v>
      </c>
      <c r="F323" s="177"/>
      <c r="G323" s="192"/>
    </row>
    <row r="324" spans="1:7">
      <c r="A324" s="197"/>
      <c r="B324" s="177"/>
      <c r="C324" s="17" t="s">
        <v>730</v>
      </c>
      <c r="D324" s="17" t="s">
        <v>436</v>
      </c>
      <c r="E324" s="18">
        <v>1</v>
      </c>
      <c r="F324" s="177"/>
      <c r="G324" s="192"/>
    </row>
    <row r="325" spans="1:7">
      <c r="A325" s="197"/>
      <c r="B325" s="177"/>
      <c r="C325" s="17" t="s">
        <v>725</v>
      </c>
      <c r="D325" s="17" t="s">
        <v>438</v>
      </c>
      <c r="E325" s="18">
        <v>1</v>
      </c>
      <c r="F325" s="177"/>
      <c r="G325" s="192"/>
    </row>
    <row r="326" spans="1:7">
      <c r="A326" s="197" t="s">
        <v>218</v>
      </c>
      <c r="B326" s="177" t="s">
        <v>219</v>
      </c>
      <c r="C326" s="23" t="s">
        <v>423</v>
      </c>
      <c r="D326" s="23" t="s">
        <v>424</v>
      </c>
      <c r="E326" s="23" t="s">
        <v>425</v>
      </c>
      <c r="F326" s="23" t="s">
        <v>426</v>
      </c>
      <c r="G326" s="65" t="s">
        <v>427</v>
      </c>
    </row>
    <row r="327" spans="1:7">
      <c r="A327" s="197"/>
      <c r="B327" s="177"/>
      <c r="C327" s="17" t="s">
        <v>731</v>
      </c>
      <c r="D327" s="17" t="s">
        <v>429</v>
      </c>
      <c r="E327" s="18">
        <v>1</v>
      </c>
      <c r="F327" s="177" t="s">
        <v>732</v>
      </c>
      <c r="G327" s="192">
        <f>'Sprint Backlog - Antiguo'!G80*4</f>
        <v>12</v>
      </c>
    </row>
    <row r="328" spans="1:7">
      <c r="A328" s="197"/>
      <c r="B328" s="177"/>
      <c r="C328" s="17" t="s">
        <v>733</v>
      </c>
      <c r="D328" s="17" t="s">
        <v>432</v>
      </c>
      <c r="E328" s="18">
        <v>4</v>
      </c>
      <c r="F328" s="177"/>
      <c r="G328" s="192"/>
    </row>
    <row r="329" spans="1:7">
      <c r="A329" s="197"/>
      <c r="B329" s="177"/>
      <c r="C329" s="17" t="s">
        <v>734</v>
      </c>
      <c r="D329" s="17" t="s">
        <v>434</v>
      </c>
      <c r="E329" s="18">
        <v>5</v>
      </c>
      <c r="F329" s="177"/>
      <c r="G329" s="192"/>
    </row>
    <row r="330" spans="1:7">
      <c r="A330" s="197"/>
      <c r="B330" s="177"/>
      <c r="C330" s="17" t="s">
        <v>735</v>
      </c>
      <c r="D330" s="17" t="s">
        <v>436</v>
      </c>
      <c r="E330" s="18">
        <v>1</v>
      </c>
      <c r="F330" s="177"/>
      <c r="G330" s="192"/>
    </row>
    <row r="331" spans="1:7">
      <c r="A331" s="197"/>
      <c r="B331" s="177"/>
      <c r="C331" s="17" t="s">
        <v>725</v>
      </c>
      <c r="D331" s="17" t="s">
        <v>438</v>
      </c>
      <c r="E331" s="18">
        <v>1</v>
      </c>
      <c r="F331" s="177"/>
      <c r="G331" s="192"/>
    </row>
    <row r="332" spans="1:7">
      <c r="A332" s="197" t="s">
        <v>222</v>
      </c>
      <c r="B332" s="177" t="s">
        <v>223</v>
      </c>
      <c r="C332" s="23" t="s">
        <v>423</v>
      </c>
      <c r="D332" s="23" t="s">
        <v>424</v>
      </c>
      <c r="E332" s="23" t="s">
        <v>425</v>
      </c>
      <c r="F332" s="23" t="s">
        <v>426</v>
      </c>
      <c r="G332" s="65" t="s">
        <v>427</v>
      </c>
    </row>
    <row r="333" spans="1:7">
      <c r="A333" s="197"/>
      <c r="B333" s="177"/>
      <c r="C333" s="17" t="s">
        <v>736</v>
      </c>
      <c r="D333" s="17" t="s">
        <v>429</v>
      </c>
      <c r="E333" s="18">
        <v>1</v>
      </c>
      <c r="F333" s="177" t="s">
        <v>737</v>
      </c>
      <c r="G333" s="192">
        <f>'Sprint Backlog - Antiguo'!G81*4</f>
        <v>8</v>
      </c>
    </row>
    <row r="334" spans="1:7">
      <c r="A334" s="197"/>
      <c r="B334" s="177"/>
      <c r="C334" s="17" t="s">
        <v>738</v>
      </c>
      <c r="D334" s="17" t="s">
        <v>432</v>
      </c>
      <c r="E334" s="18">
        <v>1</v>
      </c>
      <c r="F334" s="177"/>
      <c r="G334" s="192"/>
    </row>
    <row r="335" spans="1:7">
      <c r="A335" s="197"/>
      <c r="B335" s="177"/>
      <c r="C335" s="17" t="s">
        <v>739</v>
      </c>
      <c r="D335" s="17" t="s">
        <v>434</v>
      </c>
      <c r="E335" s="18">
        <v>3</v>
      </c>
      <c r="F335" s="177"/>
      <c r="G335" s="192"/>
    </row>
    <row r="336" spans="1:7">
      <c r="A336" s="197"/>
      <c r="B336" s="177"/>
      <c r="C336" s="17" t="s">
        <v>740</v>
      </c>
      <c r="D336" s="17" t="s">
        <v>436</v>
      </c>
      <c r="E336" s="18">
        <v>1</v>
      </c>
      <c r="F336" s="177"/>
      <c r="G336" s="192"/>
    </row>
    <row r="337" spans="1:7">
      <c r="A337" s="197"/>
      <c r="B337" s="177"/>
      <c r="C337" s="17" t="s">
        <v>741</v>
      </c>
      <c r="D337" s="17" t="s">
        <v>438</v>
      </c>
      <c r="E337" s="18">
        <v>1</v>
      </c>
      <c r="F337" s="177"/>
      <c r="G337" s="192"/>
    </row>
    <row r="338" spans="1:7">
      <c r="A338" s="197" t="s">
        <v>226</v>
      </c>
      <c r="B338" s="199" t="s">
        <v>227</v>
      </c>
      <c r="C338" s="17" t="s">
        <v>742</v>
      </c>
      <c r="D338" s="17" t="s">
        <v>429</v>
      </c>
      <c r="E338" s="18">
        <v>1</v>
      </c>
      <c r="F338" s="177" t="s">
        <v>743</v>
      </c>
      <c r="G338" s="192">
        <f>'Sprint Backlog - Antiguo'!G82*4</f>
        <v>12</v>
      </c>
    </row>
    <row r="339" spans="1:7">
      <c r="A339" s="197"/>
      <c r="B339" s="199"/>
      <c r="C339" s="17" t="s">
        <v>744</v>
      </c>
      <c r="D339" s="17" t="s">
        <v>432</v>
      </c>
      <c r="E339" s="18">
        <v>1</v>
      </c>
      <c r="F339" s="177"/>
      <c r="G339" s="192"/>
    </row>
    <row r="340" spans="1:7" ht="27.75">
      <c r="A340" s="197"/>
      <c r="B340" s="199"/>
      <c r="C340" s="17" t="s">
        <v>745</v>
      </c>
      <c r="D340" s="17" t="s">
        <v>434</v>
      </c>
      <c r="E340" s="18">
        <v>7</v>
      </c>
      <c r="F340" s="177"/>
      <c r="G340" s="192"/>
    </row>
    <row r="341" spans="1:7">
      <c r="A341" s="197"/>
      <c r="B341" s="199"/>
      <c r="C341" s="17" t="s">
        <v>498</v>
      </c>
      <c r="D341" s="17" t="s">
        <v>436</v>
      </c>
      <c r="E341" s="18">
        <v>1</v>
      </c>
      <c r="F341" s="177"/>
      <c r="G341" s="192"/>
    </row>
    <row r="342" spans="1:7">
      <c r="A342" s="198"/>
      <c r="B342" s="200"/>
      <c r="C342" s="67" t="s">
        <v>499</v>
      </c>
      <c r="D342" s="67" t="s">
        <v>438</v>
      </c>
      <c r="E342" s="66">
        <v>2</v>
      </c>
      <c r="F342" s="201"/>
      <c r="G342" s="193"/>
    </row>
    <row r="344" spans="1:7">
      <c r="A344" s="194" t="s">
        <v>746</v>
      </c>
      <c r="B344" s="195"/>
      <c r="C344" s="195"/>
      <c r="D344" s="195"/>
      <c r="E344" s="195"/>
      <c r="F344" s="195"/>
      <c r="G344" s="196"/>
    </row>
    <row r="345" spans="1:7">
      <c r="A345" s="64" t="s">
        <v>1</v>
      </c>
      <c r="B345" s="23" t="s">
        <v>422</v>
      </c>
      <c r="C345" s="23" t="s">
        <v>423</v>
      </c>
      <c r="D345" s="23" t="s">
        <v>424</v>
      </c>
      <c r="E345" s="23" t="s">
        <v>425</v>
      </c>
      <c r="F345" s="23" t="s">
        <v>426</v>
      </c>
      <c r="G345" s="65" t="s">
        <v>427</v>
      </c>
    </row>
    <row r="346" spans="1:7">
      <c r="A346" s="197" t="s">
        <v>231</v>
      </c>
      <c r="B346" s="177" t="s">
        <v>232</v>
      </c>
      <c r="C346" s="17" t="s">
        <v>747</v>
      </c>
      <c r="D346" s="17" t="s">
        <v>429</v>
      </c>
      <c r="E346" s="18">
        <v>6</v>
      </c>
      <c r="F346" s="177" t="s">
        <v>748</v>
      </c>
      <c r="G346" s="192">
        <f>'Sprint Backlog - Antiguo'!G86*4</f>
        <v>20</v>
      </c>
    </row>
    <row r="347" spans="1:7">
      <c r="A347" s="197"/>
      <c r="B347" s="177"/>
      <c r="C347" s="17" t="s">
        <v>749</v>
      </c>
      <c r="D347" s="17" t="s">
        <v>432</v>
      </c>
      <c r="E347" s="18">
        <v>5</v>
      </c>
      <c r="F347" s="177"/>
      <c r="G347" s="192"/>
    </row>
    <row r="348" spans="1:7">
      <c r="A348" s="197"/>
      <c r="B348" s="177"/>
      <c r="C348" s="53" t="s">
        <v>750</v>
      </c>
      <c r="D348" s="17" t="s">
        <v>434</v>
      </c>
      <c r="E348" s="18">
        <v>6</v>
      </c>
      <c r="F348" s="177"/>
      <c r="G348" s="192"/>
    </row>
    <row r="349" spans="1:7">
      <c r="A349" s="197"/>
      <c r="B349" s="177"/>
      <c r="C349" s="53" t="s">
        <v>751</v>
      </c>
      <c r="D349" s="17" t="s">
        <v>436</v>
      </c>
      <c r="E349" s="18">
        <v>1</v>
      </c>
      <c r="F349" s="177"/>
      <c r="G349" s="192"/>
    </row>
    <row r="350" spans="1:7">
      <c r="A350" s="197"/>
      <c r="B350" s="177"/>
      <c r="C350" s="17" t="s">
        <v>499</v>
      </c>
      <c r="D350" s="17" t="s">
        <v>438</v>
      </c>
      <c r="E350" s="18">
        <v>2</v>
      </c>
      <c r="F350" s="177"/>
      <c r="G350" s="192"/>
    </row>
    <row r="351" spans="1:7">
      <c r="A351" s="197" t="s">
        <v>235</v>
      </c>
      <c r="B351" s="177" t="s">
        <v>236</v>
      </c>
      <c r="C351" s="23" t="s">
        <v>423</v>
      </c>
      <c r="D351" s="23" t="s">
        <v>424</v>
      </c>
      <c r="E351" s="23" t="s">
        <v>425</v>
      </c>
      <c r="F351" s="23" t="s">
        <v>426</v>
      </c>
      <c r="G351" s="65" t="s">
        <v>427</v>
      </c>
    </row>
    <row r="352" spans="1:7">
      <c r="A352" s="197"/>
      <c r="B352" s="177"/>
      <c r="C352" s="17" t="s">
        <v>752</v>
      </c>
      <c r="D352" s="17" t="s">
        <v>429</v>
      </c>
      <c r="E352" s="18">
        <v>2</v>
      </c>
      <c r="F352" s="177" t="s">
        <v>753</v>
      </c>
      <c r="G352" s="192">
        <f>'Sprint Backlog - Antiguo'!G87*4</f>
        <v>8</v>
      </c>
    </row>
    <row r="353" spans="1:7">
      <c r="A353" s="197"/>
      <c r="B353" s="177"/>
      <c r="C353" s="17" t="s">
        <v>754</v>
      </c>
      <c r="D353" s="17" t="s">
        <v>432</v>
      </c>
      <c r="E353" s="18">
        <v>2</v>
      </c>
      <c r="F353" s="177"/>
      <c r="G353" s="192"/>
    </row>
    <row r="354" spans="1:7">
      <c r="A354" s="197"/>
      <c r="B354" s="177"/>
      <c r="C354" s="17" t="s">
        <v>755</v>
      </c>
      <c r="D354" s="17" t="s">
        <v>434</v>
      </c>
      <c r="E354" s="18">
        <v>2</v>
      </c>
      <c r="F354" s="177"/>
      <c r="G354" s="192"/>
    </row>
    <row r="355" spans="1:7">
      <c r="A355" s="197"/>
      <c r="B355" s="177"/>
      <c r="C355" s="17" t="s">
        <v>756</v>
      </c>
      <c r="D355" s="17" t="s">
        <v>436</v>
      </c>
      <c r="E355" s="18">
        <v>1</v>
      </c>
      <c r="F355" s="177"/>
      <c r="G355" s="192"/>
    </row>
    <row r="356" spans="1:7">
      <c r="A356" s="197"/>
      <c r="B356" s="177"/>
      <c r="C356" s="17" t="s">
        <v>508</v>
      </c>
      <c r="D356" s="17" t="s">
        <v>438</v>
      </c>
      <c r="E356" s="18">
        <v>1</v>
      </c>
      <c r="F356" s="177"/>
      <c r="G356" s="192"/>
    </row>
    <row r="357" spans="1:7">
      <c r="A357" s="197" t="s">
        <v>239</v>
      </c>
      <c r="B357" s="177" t="s">
        <v>240</v>
      </c>
      <c r="C357" s="23" t="s">
        <v>423</v>
      </c>
      <c r="D357" s="23" t="s">
        <v>424</v>
      </c>
      <c r="E357" s="23" t="s">
        <v>425</v>
      </c>
      <c r="F357" s="23" t="s">
        <v>426</v>
      </c>
      <c r="G357" s="65" t="s">
        <v>427</v>
      </c>
    </row>
    <row r="358" spans="1:7">
      <c r="A358" s="197"/>
      <c r="B358" s="177"/>
      <c r="C358" s="17" t="s">
        <v>757</v>
      </c>
      <c r="D358" s="17" t="s">
        <v>429</v>
      </c>
      <c r="E358" s="18">
        <v>2</v>
      </c>
      <c r="F358" s="177" t="s">
        <v>758</v>
      </c>
      <c r="G358" s="192">
        <f>'Sprint Backlog - Antiguo'!G88*4</f>
        <v>12</v>
      </c>
    </row>
    <row r="359" spans="1:7" ht="27.75">
      <c r="A359" s="197"/>
      <c r="B359" s="177"/>
      <c r="C359" s="17" t="s">
        <v>759</v>
      </c>
      <c r="D359" s="17" t="s">
        <v>432</v>
      </c>
      <c r="E359" s="18">
        <v>4</v>
      </c>
      <c r="F359" s="177"/>
      <c r="G359" s="192"/>
    </row>
    <row r="360" spans="1:7">
      <c r="A360" s="197"/>
      <c r="B360" s="177"/>
      <c r="C360" s="17" t="s">
        <v>760</v>
      </c>
      <c r="D360" s="17" t="s">
        <v>434</v>
      </c>
      <c r="E360" s="18">
        <v>3</v>
      </c>
      <c r="F360" s="177"/>
      <c r="G360" s="192"/>
    </row>
    <row r="361" spans="1:7">
      <c r="A361" s="197"/>
      <c r="B361" s="177"/>
      <c r="C361" s="17" t="s">
        <v>560</v>
      </c>
      <c r="D361" s="17" t="s">
        <v>436</v>
      </c>
      <c r="E361" s="18">
        <v>1</v>
      </c>
      <c r="F361" s="177"/>
      <c r="G361" s="192"/>
    </row>
    <row r="362" spans="1:7">
      <c r="A362" s="197"/>
      <c r="B362" s="177"/>
      <c r="C362" s="17" t="s">
        <v>499</v>
      </c>
      <c r="D362" s="17" t="s">
        <v>438</v>
      </c>
      <c r="E362" s="18">
        <v>2</v>
      </c>
      <c r="F362" s="177"/>
      <c r="G362" s="192"/>
    </row>
    <row r="363" spans="1:7">
      <c r="A363" s="197" t="s">
        <v>244</v>
      </c>
      <c r="B363" s="199" t="s">
        <v>245</v>
      </c>
      <c r="C363" s="23" t="s">
        <v>423</v>
      </c>
      <c r="D363" s="23" t="s">
        <v>424</v>
      </c>
      <c r="E363" s="23" t="s">
        <v>425</v>
      </c>
      <c r="F363" s="23" t="s">
        <v>426</v>
      </c>
      <c r="G363" s="65" t="s">
        <v>427</v>
      </c>
    </row>
    <row r="364" spans="1:7">
      <c r="A364" s="197"/>
      <c r="B364" s="199"/>
      <c r="C364" s="17"/>
      <c r="D364" s="17" t="s">
        <v>429</v>
      </c>
      <c r="E364" s="18"/>
      <c r="F364" s="177" t="s">
        <v>761</v>
      </c>
      <c r="G364" s="192">
        <f>'Sprint Backlog - Antiguo'!G89*4</f>
        <v>8</v>
      </c>
    </row>
    <row r="365" spans="1:7">
      <c r="A365" s="197"/>
      <c r="B365" s="199"/>
      <c r="C365" s="17" t="s">
        <v>762</v>
      </c>
      <c r="D365" s="17" t="s">
        <v>432</v>
      </c>
      <c r="E365" s="18">
        <v>2</v>
      </c>
      <c r="F365" s="177"/>
      <c r="G365" s="192"/>
    </row>
    <row r="366" spans="1:7">
      <c r="A366" s="197"/>
      <c r="B366" s="199"/>
      <c r="C366" s="17" t="s">
        <v>763</v>
      </c>
      <c r="D366" s="17" t="s">
        <v>434</v>
      </c>
      <c r="E366" s="18">
        <v>4</v>
      </c>
      <c r="F366" s="177"/>
      <c r="G366" s="192"/>
    </row>
    <row r="367" spans="1:7">
      <c r="A367" s="197"/>
      <c r="B367" s="199"/>
      <c r="C367" s="17" t="s">
        <v>764</v>
      </c>
      <c r="D367" s="17" t="s">
        <v>436</v>
      </c>
      <c r="E367" s="18">
        <v>1</v>
      </c>
      <c r="F367" s="177"/>
      <c r="G367" s="192"/>
    </row>
    <row r="368" spans="1:7">
      <c r="A368" s="198"/>
      <c r="B368" s="200"/>
      <c r="C368" s="67" t="s">
        <v>499</v>
      </c>
      <c r="D368" s="67" t="s">
        <v>438</v>
      </c>
      <c r="E368" s="66">
        <v>1</v>
      </c>
      <c r="F368" s="201"/>
      <c r="G368" s="193"/>
    </row>
  </sheetData>
  <mergeCells count="243">
    <mergeCell ref="G327:G331"/>
    <mergeCell ref="A332:A337"/>
    <mergeCell ref="B332:B337"/>
    <mergeCell ref="F333:F337"/>
    <mergeCell ref="G333:G337"/>
    <mergeCell ref="A338:A342"/>
    <mergeCell ref="B338:B342"/>
    <mergeCell ref="F338:F342"/>
    <mergeCell ref="G338:G342"/>
    <mergeCell ref="G79:G83"/>
    <mergeCell ref="A166:A171"/>
    <mergeCell ref="B166:B171"/>
    <mergeCell ref="F167:F171"/>
    <mergeCell ref="G167:G171"/>
    <mergeCell ref="A172:A177"/>
    <mergeCell ref="B172:B177"/>
    <mergeCell ref="F173:F177"/>
    <mergeCell ref="G173:G177"/>
    <mergeCell ref="F79:F83"/>
    <mergeCell ref="A116:A121"/>
    <mergeCell ref="B116:B121"/>
    <mergeCell ref="F117:F121"/>
    <mergeCell ref="A122:A127"/>
    <mergeCell ref="B122:B127"/>
    <mergeCell ref="F123:F127"/>
    <mergeCell ref="A105:A109"/>
    <mergeCell ref="B105:B109"/>
    <mergeCell ref="F105:F109"/>
    <mergeCell ref="A110:A115"/>
    <mergeCell ref="B110:B115"/>
    <mergeCell ref="F111:F115"/>
    <mergeCell ref="B128:B133"/>
    <mergeCell ref="F129:F133"/>
    <mergeCell ref="B58:B63"/>
    <mergeCell ref="F59:F63"/>
    <mergeCell ref="G59:G63"/>
    <mergeCell ref="A90:A95"/>
    <mergeCell ref="B90:B95"/>
    <mergeCell ref="F91:F95"/>
    <mergeCell ref="G91:G95"/>
    <mergeCell ref="A96:A101"/>
    <mergeCell ref="B96:B101"/>
    <mergeCell ref="F97:F101"/>
    <mergeCell ref="G97:G101"/>
    <mergeCell ref="F73:F77"/>
    <mergeCell ref="G73:G77"/>
    <mergeCell ref="B72:B77"/>
    <mergeCell ref="A58:A63"/>
    <mergeCell ref="A84:A89"/>
    <mergeCell ref="B84:B89"/>
    <mergeCell ref="F85:F89"/>
    <mergeCell ref="A67:A71"/>
    <mergeCell ref="B67:B71"/>
    <mergeCell ref="F67:F71"/>
    <mergeCell ref="A72:A77"/>
    <mergeCell ref="A78:A83"/>
    <mergeCell ref="B78:B83"/>
    <mergeCell ref="F3:F7"/>
    <mergeCell ref="A3:A7"/>
    <mergeCell ref="B3:B7"/>
    <mergeCell ref="F35:F39"/>
    <mergeCell ref="A20:A25"/>
    <mergeCell ref="A26:A31"/>
    <mergeCell ref="B20:B25"/>
    <mergeCell ref="B26:B31"/>
    <mergeCell ref="F21:F25"/>
    <mergeCell ref="F27:F31"/>
    <mergeCell ref="B35:B39"/>
    <mergeCell ref="A35:A39"/>
    <mergeCell ref="A8:A13"/>
    <mergeCell ref="B8:B13"/>
    <mergeCell ref="F9:F13"/>
    <mergeCell ref="A14:A19"/>
    <mergeCell ref="B14:B19"/>
    <mergeCell ref="F15:F19"/>
    <mergeCell ref="A40:A45"/>
    <mergeCell ref="B40:B45"/>
    <mergeCell ref="F41:F45"/>
    <mergeCell ref="A46:A51"/>
    <mergeCell ref="B46:B51"/>
    <mergeCell ref="F47:F51"/>
    <mergeCell ref="B52:B57"/>
    <mergeCell ref="A52:A57"/>
    <mergeCell ref="F53:F57"/>
    <mergeCell ref="A193:A197"/>
    <mergeCell ref="B193:B197"/>
    <mergeCell ref="F193:F197"/>
    <mergeCell ref="A198:A203"/>
    <mergeCell ref="B198:B203"/>
    <mergeCell ref="F199:F203"/>
    <mergeCell ref="A154:A159"/>
    <mergeCell ref="B154:B159"/>
    <mergeCell ref="F155:F159"/>
    <mergeCell ref="A160:A165"/>
    <mergeCell ref="B160:B165"/>
    <mergeCell ref="F161:F165"/>
    <mergeCell ref="A178:A183"/>
    <mergeCell ref="B178:B183"/>
    <mergeCell ref="F179:F183"/>
    <mergeCell ref="A184:A189"/>
    <mergeCell ref="B184:B189"/>
    <mergeCell ref="F185:F189"/>
    <mergeCell ref="A219:A223"/>
    <mergeCell ref="B219:B223"/>
    <mergeCell ref="F219:F223"/>
    <mergeCell ref="A204:A209"/>
    <mergeCell ref="B204:B209"/>
    <mergeCell ref="F205:F209"/>
    <mergeCell ref="A210:A215"/>
    <mergeCell ref="B210:B215"/>
    <mergeCell ref="F211:F215"/>
    <mergeCell ref="A236:A241"/>
    <mergeCell ref="B236:B241"/>
    <mergeCell ref="F237:F241"/>
    <mergeCell ref="A224:A229"/>
    <mergeCell ref="B224:B229"/>
    <mergeCell ref="F225:F229"/>
    <mergeCell ref="A230:A235"/>
    <mergeCell ref="B230:B235"/>
    <mergeCell ref="F231:F235"/>
    <mergeCell ref="A256:A261"/>
    <mergeCell ref="B256:B261"/>
    <mergeCell ref="F257:F261"/>
    <mergeCell ref="A262:A267"/>
    <mergeCell ref="B262:B267"/>
    <mergeCell ref="F263:F267"/>
    <mergeCell ref="A245:A249"/>
    <mergeCell ref="B245:B249"/>
    <mergeCell ref="F245:F249"/>
    <mergeCell ref="A250:A255"/>
    <mergeCell ref="B250:B255"/>
    <mergeCell ref="F251:F255"/>
    <mergeCell ref="A276:A281"/>
    <mergeCell ref="B276:B281"/>
    <mergeCell ref="F277:F281"/>
    <mergeCell ref="A282:A287"/>
    <mergeCell ref="B282:B287"/>
    <mergeCell ref="F283:F287"/>
    <mergeCell ref="A271:A275"/>
    <mergeCell ref="B271:B275"/>
    <mergeCell ref="F271:F275"/>
    <mergeCell ref="A308:A313"/>
    <mergeCell ref="B308:B313"/>
    <mergeCell ref="F309:F313"/>
    <mergeCell ref="A288:A293"/>
    <mergeCell ref="B288:B293"/>
    <mergeCell ref="F289:F293"/>
    <mergeCell ref="A294:A299"/>
    <mergeCell ref="B294:B299"/>
    <mergeCell ref="F295:F299"/>
    <mergeCell ref="A303:A307"/>
    <mergeCell ref="B303:B307"/>
    <mergeCell ref="F303:F307"/>
    <mergeCell ref="A314:A319"/>
    <mergeCell ref="B314:B319"/>
    <mergeCell ref="F315:F319"/>
    <mergeCell ref="A346:A350"/>
    <mergeCell ref="B346:B350"/>
    <mergeCell ref="F346:F350"/>
    <mergeCell ref="A351:A356"/>
    <mergeCell ref="B351:B356"/>
    <mergeCell ref="F352:F356"/>
    <mergeCell ref="A320:A325"/>
    <mergeCell ref="B320:B325"/>
    <mergeCell ref="F321:F325"/>
    <mergeCell ref="A326:A331"/>
    <mergeCell ref="B326:B331"/>
    <mergeCell ref="F327:F331"/>
    <mergeCell ref="A357:A362"/>
    <mergeCell ref="B357:B362"/>
    <mergeCell ref="F358:F362"/>
    <mergeCell ref="A363:A368"/>
    <mergeCell ref="B363:B368"/>
    <mergeCell ref="F364:F368"/>
    <mergeCell ref="G3:G7"/>
    <mergeCell ref="G9:G13"/>
    <mergeCell ref="G15:G19"/>
    <mergeCell ref="G35:G39"/>
    <mergeCell ref="G41:G45"/>
    <mergeCell ref="G47:G51"/>
    <mergeCell ref="G53:G57"/>
    <mergeCell ref="G21:G25"/>
    <mergeCell ref="G27:G31"/>
    <mergeCell ref="G129:G133"/>
    <mergeCell ref="G137:G141"/>
    <mergeCell ref="G143:G147"/>
    <mergeCell ref="G149:G153"/>
    <mergeCell ref="G67:G71"/>
    <mergeCell ref="G85:G89"/>
    <mergeCell ref="G105:G109"/>
    <mergeCell ref="G111:G115"/>
    <mergeCell ref="G117:G121"/>
    <mergeCell ref="G123:G127"/>
    <mergeCell ref="A142:A147"/>
    <mergeCell ref="B142:B147"/>
    <mergeCell ref="F143:F147"/>
    <mergeCell ref="A148:A153"/>
    <mergeCell ref="B148:B153"/>
    <mergeCell ref="F149:F153"/>
    <mergeCell ref="A128:A133"/>
    <mergeCell ref="G155:G159"/>
    <mergeCell ref="A137:A141"/>
    <mergeCell ref="B137:B141"/>
    <mergeCell ref="F137:F141"/>
    <mergeCell ref="G251:G255"/>
    <mergeCell ref="G257:G261"/>
    <mergeCell ref="G263:G267"/>
    <mergeCell ref="G271:G275"/>
    <mergeCell ref="G277:G281"/>
    <mergeCell ref="G283:G287"/>
    <mergeCell ref="G161:G165"/>
    <mergeCell ref="G193:G197"/>
    <mergeCell ref="G199:G203"/>
    <mergeCell ref="G205:G209"/>
    <mergeCell ref="G211:G215"/>
    <mergeCell ref="G219:G223"/>
    <mergeCell ref="G225:G229"/>
    <mergeCell ref="G179:G183"/>
    <mergeCell ref="G185:G189"/>
    <mergeCell ref="G364:G368"/>
    <mergeCell ref="A1:G1"/>
    <mergeCell ref="A33:G33"/>
    <mergeCell ref="A65:G65"/>
    <mergeCell ref="A103:G103"/>
    <mergeCell ref="A135:G135"/>
    <mergeCell ref="A191:G191"/>
    <mergeCell ref="A217:G217"/>
    <mergeCell ref="A243:G243"/>
    <mergeCell ref="A269:G269"/>
    <mergeCell ref="A301:G301"/>
    <mergeCell ref="A344:G344"/>
    <mergeCell ref="G289:G293"/>
    <mergeCell ref="G303:G307"/>
    <mergeCell ref="G309:G313"/>
    <mergeCell ref="G315:G319"/>
    <mergeCell ref="G321:G325"/>
    <mergeCell ref="G295:G299"/>
    <mergeCell ref="G346:G350"/>
    <mergeCell ref="G352:G356"/>
    <mergeCell ref="G358:G362"/>
    <mergeCell ref="G231:G235"/>
    <mergeCell ref="G237:G241"/>
    <mergeCell ref="G245:G24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BE01-855A-40A9-ABCA-1A95E76D4603}">
  <dimension ref="A1:G369"/>
  <sheetViews>
    <sheetView topLeftCell="G27" zoomScale="85" zoomScaleNormal="85" workbookViewId="0">
      <selection activeCell="G27" sqref="G27:G31"/>
    </sheetView>
  </sheetViews>
  <sheetFormatPr defaultColWidth="9.140625" defaultRowHeight="15"/>
  <cols>
    <col min="1" max="1" width="6.28515625" style="5" bestFit="1" customWidth="1"/>
    <col min="2" max="2" width="39.85546875" style="5" customWidth="1"/>
    <col min="3" max="3" width="89.42578125" style="5" customWidth="1"/>
    <col min="4" max="4" width="12.42578125" style="10" bestFit="1" customWidth="1"/>
    <col min="5" max="5" width="16" style="10" bestFit="1" customWidth="1"/>
    <col min="6" max="6" width="30" style="4" customWidth="1"/>
    <col min="7" max="7" width="13" style="4" bestFit="1" customWidth="1"/>
    <col min="8" max="8" width="3.28515625" style="5" bestFit="1" customWidth="1"/>
    <col min="9" max="16384" width="9.140625" style="5"/>
  </cols>
  <sheetData>
    <row r="1" spans="1:7">
      <c r="A1" s="194" t="s">
        <v>421</v>
      </c>
      <c r="B1" s="195"/>
      <c r="C1" s="195"/>
      <c r="D1" s="195"/>
      <c r="E1" s="195"/>
      <c r="F1" s="195"/>
      <c r="G1" s="196"/>
    </row>
    <row r="2" spans="1:7">
      <c r="A2" s="64" t="s">
        <v>1</v>
      </c>
      <c r="B2" s="23" t="s">
        <v>422</v>
      </c>
      <c r="C2" s="23" t="s">
        <v>423</v>
      </c>
      <c r="D2" s="23" t="s">
        <v>424</v>
      </c>
      <c r="E2" s="23" t="s">
        <v>425</v>
      </c>
      <c r="F2" s="23" t="s">
        <v>426</v>
      </c>
      <c r="G2" s="65" t="s">
        <v>427</v>
      </c>
    </row>
    <row r="3" spans="1:7">
      <c r="A3" s="197" t="s">
        <v>30</v>
      </c>
      <c r="B3" s="177" t="s">
        <v>31</v>
      </c>
      <c r="C3" s="17" t="s">
        <v>465</v>
      </c>
      <c r="D3" s="17" t="s">
        <v>429</v>
      </c>
      <c r="E3" s="18">
        <v>3</v>
      </c>
      <c r="F3" s="177" t="s">
        <v>466</v>
      </c>
      <c r="G3" s="192">
        <f>'Sprint Backlog - 27-06-25'!$G$2*4</f>
        <v>12</v>
      </c>
    </row>
    <row r="4" spans="1:7">
      <c r="A4" s="197"/>
      <c r="B4" s="177"/>
      <c r="C4" s="53" t="s">
        <v>467</v>
      </c>
      <c r="D4" s="17" t="s">
        <v>432</v>
      </c>
      <c r="E4" s="18">
        <v>3</v>
      </c>
      <c r="F4" s="177"/>
      <c r="G4" s="192"/>
    </row>
    <row r="5" spans="1:7">
      <c r="A5" s="197"/>
      <c r="B5" s="177"/>
      <c r="C5" s="17" t="s">
        <v>468</v>
      </c>
      <c r="D5" s="17" t="s">
        <v>434</v>
      </c>
      <c r="E5" s="18">
        <v>3</v>
      </c>
      <c r="F5" s="177"/>
      <c r="G5" s="192"/>
    </row>
    <row r="6" spans="1:7">
      <c r="A6" s="197"/>
      <c r="B6" s="177"/>
      <c r="C6" s="17" t="s">
        <v>469</v>
      </c>
      <c r="D6" s="17" t="s">
        <v>436</v>
      </c>
      <c r="E6" s="18">
        <v>2</v>
      </c>
      <c r="F6" s="177"/>
      <c r="G6" s="192"/>
    </row>
    <row r="7" spans="1:7">
      <c r="A7" s="197"/>
      <c r="B7" s="177"/>
      <c r="C7" s="17" t="s">
        <v>470</v>
      </c>
      <c r="D7" s="17" t="s">
        <v>438</v>
      </c>
      <c r="E7" s="18">
        <v>1</v>
      </c>
      <c r="F7" s="177"/>
      <c r="G7" s="192"/>
    </row>
    <row r="8" spans="1:7">
      <c r="A8" s="197" t="s">
        <v>39</v>
      </c>
      <c r="B8" s="177" t="s">
        <v>40</v>
      </c>
      <c r="C8" s="23" t="s">
        <v>423</v>
      </c>
      <c r="D8" s="23" t="s">
        <v>424</v>
      </c>
      <c r="E8" s="23" t="s">
        <v>425</v>
      </c>
      <c r="F8" s="23" t="s">
        <v>426</v>
      </c>
      <c r="G8" s="65" t="s">
        <v>427</v>
      </c>
    </row>
    <row r="9" spans="1:7">
      <c r="A9" s="197"/>
      <c r="B9" s="177"/>
      <c r="C9" s="17" t="s">
        <v>477</v>
      </c>
      <c r="D9" s="17" t="s">
        <v>429</v>
      </c>
      <c r="E9" s="18">
        <v>3</v>
      </c>
      <c r="F9" s="177" t="s">
        <v>478</v>
      </c>
      <c r="G9" s="192">
        <f>'Sprint Backlog - 27-06-25'!$G$3*4</f>
        <v>20</v>
      </c>
    </row>
    <row r="10" spans="1:7">
      <c r="A10" s="197"/>
      <c r="B10" s="177"/>
      <c r="C10" s="17" t="s">
        <v>479</v>
      </c>
      <c r="D10" s="17" t="s">
        <v>432</v>
      </c>
      <c r="E10" s="18">
        <v>8</v>
      </c>
      <c r="F10" s="177"/>
      <c r="G10" s="192"/>
    </row>
    <row r="11" spans="1:7">
      <c r="A11" s="197"/>
      <c r="B11" s="177"/>
      <c r="C11" s="17" t="s">
        <v>480</v>
      </c>
      <c r="D11" s="17" t="s">
        <v>434</v>
      </c>
      <c r="E11" s="18">
        <v>5</v>
      </c>
      <c r="F11" s="177"/>
      <c r="G11" s="192"/>
    </row>
    <row r="12" spans="1:7">
      <c r="A12" s="197"/>
      <c r="B12" s="177"/>
      <c r="C12" s="17" t="s">
        <v>481</v>
      </c>
      <c r="D12" s="17" t="s">
        <v>436</v>
      </c>
      <c r="E12" s="18">
        <v>3</v>
      </c>
      <c r="F12" s="177"/>
      <c r="G12" s="192"/>
    </row>
    <row r="13" spans="1:7">
      <c r="A13" s="197"/>
      <c r="B13" s="177"/>
      <c r="C13" s="17" t="s">
        <v>482</v>
      </c>
      <c r="D13" s="17" t="s">
        <v>438</v>
      </c>
      <c r="E13" s="18">
        <v>1</v>
      </c>
      <c r="F13" s="177"/>
      <c r="G13" s="192"/>
    </row>
    <row r="14" spans="1:7">
      <c r="A14" s="197" t="s">
        <v>74</v>
      </c>
      <c r="B14" s="177" t="s">
        <v>75</v>
      </c>
      <c r="C14" s="23" t="s">
        <v>423</v>
      </c>
      <c r="D14" s="23" t="s">
        <v>424</v>
      </c>
      <c r="E14" s="23" t="s">
        <v>425</v>
      </c>
      <c r="F14" s="23" t="s">
        <v>426</v>
      </c>
      <c r="G14" s="65" t="s">
        <v>427</v>
      </c>
    </row>
    <row r="15" spans="1:7">
      <c r="A15" s="197"/>
      <c r="B15" s="177"/>
      <c r="C15" s="17" t="s">
        <v>519</v>
      </c>
      <c r="D15" s="17" t="s">
        <v>429</v>
      </c>
      <c r="E15" s="18">
        <v>3</v>
      </c>
      <c r="F15" s="177" t="s">
        <v>520</v>
      </c>
      <c r="G15" s="192">
        <f>'Sprint Backlog - 27-06-25'!$G$4*4</f>
        <v>20</v>
      </c>
    </row>
    <row r="16" spans="1:7">
      <c r="A16" s="197"/>
      <c r="B16" s="177"/>
      <c r="C16" s="17" t="s">
        <v>521</v>
      </c>
      <c r="D16" s="17" t="s">
        <v>432</v>
      </c>
      <c r="E16" s="18">
        <v>7</v>
      </c>
      <c r="F16" s="177"/>
      <c r="G16" s="192"/>
    </row>
    <row r="17" spans="1:7">
      <c r="A17" s="197"/>
      <c r="B17" s="177"/>
      <c r="C17" s="17" t="s">
        <v>522</v>
      </c>
      <c r="D17" s="17" t="s">
        <v>434</v>
      </c>
      <c r="E17" s="18">
        <v>7</v>
      </c>
      <c r="F17" s="177"/>
      <c r="G17" s="192"/>
    </row>
    <row r="18" spans="1:7">
      <c r="A18" s="197"/>
      <c r="B18" s="177"/>
      <c r="C18" s="17" t="s">
        <v>523</v>
      </c>
      <c r="D18" s="17" t="s">
        <v>436</v>
      </c>
      <c r="E18" s="18">
        <v>2</v>
      </c>
      <c r="F18" s="177"/>
      <c r="G18" s="192"/>
    </row>
    <row r="19" spans="1:7">
      <c r="A19" s="197"/>
      <c r="B19" s="177"/>
      <c r="C19" s="17" t="s">
        <v>524</v>
      </c>
      <c r="D19" s="17" t="s">
        <v>438</v>
      </c>
      <c r="E19" s="18">
        <v>1</v>
      </c>
      <c r="F19" s="177"/>
      <c r="G19" s="192"/>
    </row>
    <row r="20" spans="1:7">
      <c r="A20" s="197" t="s">
        <v>177</v>
      </c>
      <c r="B20" s="177" t="s">
        <v>178</v>
      </c>
      <c r="C20" s="23" t="s">
        <v>423</v>
      </c>
      <c r="D20" s="23" t="s">
        <v>424</v>
      </c>
      <c r="E20" s="23" t="s">
        <v>425</v>
      </c>
      <c r="F20" s="23" t="s">
        <v>426</v>
      </c>
      <c r="G20" s="65" t="s">
        <v>427</v>
      </c>
    </row>
    <row r="21" spans="1:7">
      <c r="A21" s="197"/>
      <c r="B21" s="177"/>
      <c r="C21" s="17" t="s">
        <v>679</v>
      </c>
      <c r="D21" s="17" t="s">
        <v>429</v>
      </c>
      <c r="E21" s="18">
        <v>2</v>
      </c>
      <c r="F21" s="177" t="s">
        <v>680</v>
      </c>
      <c r="G21" s="192">
        <f>'Sprint Backlog - 27-06-25'!$G$5*4</f>
        <v>20</v>
      </c>
    </row>
    <row r="22" spans="1:7">
      <c r="A22" s="197"/>
      <c r="B22" s="177"/>
      <c r="C22" s="17" t="s">
        <v>681</v>
      </c>
      <c r="D22" s="17" t="s">
        <v>432</v>
      </c>
      <c r="E22" s="18">
        <v>7</v>
      </c>
      <c r="F22" s="177"/>
      <c r="G22" s="192"/>
    </row>
    <row r="23" spans="1:7">
      <c r="A23" s="197"/>
      <c r="B23" s="177"/>
      <c r="C23" s="106" t="s">
        <v>682</v>
      </c>
      <c r="D23" s="17" t="s">
        <v>434</v>
      </c>
      <c r="E23" s="18">
        <v>9</v>
      </c>
      <c r="F23" s="177"/>
      <c r="G23" s="192"/>
    </row>
    <row r="24" spans="1:7">
      <c r="A24" s="197"/>
      <c r="B24" s="177"/>
      <c r="C24" s="106" t="s">
        <v>683</v>
      </c>
      <c r="D24" s="17" t="s">
        <v>436</v>
      </c>
      <c r="E24" s="18">
        <v>1</v>
      </c>
      <c r="F24" s="177"/>
      <c r="G24" s="192"/>
    </row>
    <row r="25" spans="1:7">
      <c r="A25" s="197"/>
      <c r="B25" s="177"/>
      <c r="C25" s="17" t="s">
        <v>684</v>
      </c>
      <c r="D25" s="17" t="s">
        <v>438</v>
      </c>
      <c r="E25" s="18">
        <v>1</v>
      </c>
      <c r="F25" s="177"/>
      <c r="G25" s="192"/>
    </row>
    <row r="26" spans="1:7">
      <c r="A26" s="197" t="s">
        <v>6</v>
      </c>
      <c r="B26" s="199" t="s">
        <v>7</v>
      </c>
      <c r="C26" s="23" t="s">
        <v>423</v>
      </c>
      <c r="D26" s="23" t="s">
        <v>424</v>
      </c>
      <c r="E26" s="23" t="s">
        <v>425</v>
      </c>
      <c r="F26" s="23" t="s">
        <v>426</v>
      </c>
      <c r="G26" s="65" t="s">
        <v>427</v>
      </c>
    </row>
    <row r="27" spans="1:7">
      <c r="A27" s="197"/>
      <c r="B27" s="199"/>
      <c r="C27" s="17" t="s">
        <v>428</v>
      </c>
      <c r="D27" s="17" t="s">
        <v>429</v>
      </c>
      <c r="E27" s="18">
        <v>3</v>
      </c>
      <c r="F27" s="177" t="s">
        <v>430</v>
      </c>
      <c r="G27" s="192">
        <f>'Sprint Backlog - 27-06-25'!$G$6*4</f>
        <v>20</v>
      </c>
    </row>
    <row r="28" spans="1:7">
      <c r="A28" s="197"/>
      <c r="B28" s="199"/>
      <c r="C28" s="17" t="s">
        <v>431</v>
      </c>
      <c r="D28" s="17" t="s">
        <v>432</v>
      </c>
      <c r="E28" s="18">
        <v>6</v>
      </c>
      <c r="F28" s="177"/>
      <c r="G28" s="192"/>
    </row>
    <row r="29" spans="1:7">
      <c r="A29" s="197"/>
      <c r="B29" s="199"/>
      <c r="C29" s="17" t="s">
        <v>433</v>
      </c>
      <c r="D29" s="17" t="s">
        <v>434</v>
      </c>
      <c r="E29" s="18">
        <v>8</v>
      </c>
      <c r="F29" s="177"/>
      <c r="G29" s="192"/>
    </row>
    <row r="30" spans="1:7">
      <c r="A30" s="197"/>
      <c r="B30" s="199"/>
      <c r="C30" s="17" t="s">
        <v>435</v>
      </c>
      <c r="D30" s="17" t="s">
        <v>436</v>
      </c>
      <c r="E30" s="18">
        <v>2</v>
      </c>
      <c r="F30" s="177"/>
      <c r="G30" s="192"/>
    </row>
    <row r="31" spans="1:7">
      <c r="A31" s="198"/>
      <c r="B31" s="200"/>
      <c r="C31" s="67" t="s">
        <v>437</v>
      </c>
      <c r="D31" s="67" t="s">
        <v>438</v>
      </c>
      <c r="E31" s="66">
        <v>1</v>
      </c>
      <c r="F31" s="201"/>
      <c r="G31" s="193"/>
    </row>
    <row r="32" spans="1:7">
      <c r="A32" s="31"/>
      <c r="B32" s="31"/>
      <c r="C32" s="4"/>
      <c r="D32" s="4"/>
      <c r="E32" s="31"/>
      <c r="F32" s="31"/>
      <c r="G32" s="31"/>
    </row>
    <row r="33" spans="1:7">
      <c r="A33" s="194" t="s">
        <v>464</v>
      </c>
      <c r="B33" s="195"/>
      <c r="C33" s="195"/>
      <c r="D33" s="195"/>
      <c r="E33" s="195"/>
      <c r="F33" s="195"/>
      <c r="G33" s="196"/>
    </row>
    <row r="34" spans="1:7">
      <c r="A34" s="64" t="s">
        <v>1</v>
      </c>
      <c r="B34" s="23" t="s">
        <v>422</v>
      </c>
      <c r="C34" s="23" t="s">
        <v>423</v>
      </c>
      <c r="D34" s="23" t="s">
        <v>424</v>
      </c>
      <c r="E34" s="23" t="s">
        <v>425</v>
      </c>
      <c r="F34" s="23" t="s">
        <v>426</v>
      </c>
      <c r="G34" s="65" t="s">
        <v>427</v>
      </c>
    </row>
    <row r="35" spans="1:7">
      <c r="A35" s="207" t="s">
        <v>12</v>
      </c>
      <c r="B35" s="178" t="s">
        <v>439</v>
      </c>
      <c r="C35" s="53" t="s">
        <v>440</v>
      </c>
      <c r="D35" s="17" t="s">
        <v>429</v>
      </c>
      <c r="E35" s="18">
        <v>4</v>
      </c>
      <c r="F35" s="177" t="s">
        <v>441</v>
      </c>
      <c r="G35" s="192">
        <f>'Sprint Backlog - 27-06-25'!$G$10*4</f>
        <v>8</v>
      </c>
    </row>
    <row r="36" spans="1:7" ht="27.75">
      <c r="A36" s="208"/>
      <c r="B36" s="179"/>
      <c r="C36" s="57" t="s">
        <v>442</v>
      </c>
      <c r="D36" s="17" t="s">
        <v>432</v>
      </c>
      <c r="E36" s="18">
        <v>6</v>
      </c>
      <c r="F36" s="177"/>
      <c r="G36" s="192"/>
    </row>
    <row r="37" spans="1:7">
      <c r="A37" s="208"/>
      <c r="B37" s="179"/>
      <c r="C37" s="17"/>
      <c r="D37" s="17" t="s">
        <v>434</v>
      </c>
      <c r="E37" s="18"/>
      <c r="F37" s="177"/>
      <c r="G37" s="192"/>
    </row>
    <row r="38" spans="1:7">
      <c r="A38" s="208"/>
      <c r="B38" s="179"/>
      <c r="C38" s="53" t="s">
        <v>443</v>
      </c>
      <c r="D38" s="17" t="s">
        <v>436</v>
      </c>
      <c r="E38" s="18">
        <v>1</v>
      </c>
      <c r="F38" s="177"/>
      <c r="G38" s="192"/>
    </row>
    <row r="39" spans="1:7">
      <c r="A39" s="209"/>
      <c r="B39" s="180"/>
      <c r="C39" s="53" t="s">
        <v>444</v>
      </c>
      <c r="D39" s="17" t="s">
        <v>438</v>
      </c>
      <c r="E39" s="18">
        <v>1</v>
      </c>
      <c r="F39" s="177"/>
      <c r="G39" s="192"/>
    </row>
    <row r="40" spans="1:7">
      <c r="A40" s="197" t="s">
        <v>16</v>
      </c>
      <c r="B40" s="177" t="s">
        <v>445</v>
      </c>
      <c r="C40" s="23" t="s">
        <v>423</v>
      </c>
      <c r="D40" s="23" t="s">
        <v>424</v>
      </c>
      <c r="E40" s="23" t="s">
        <v>425</v>
      </c>
      <c r="F40" s="23" t="s">
        <v>426</v>
      </c>
      <c r="G40" s="65" t="s">
        <v>427</v>
      </c>
    </row>
    <row r="41" spans="1:7">
      <c r="A41" s="197"/>
      <c r="B41" s="177"/>
      <c r="C41" s="53" t="s">
        <v>446</v>
      </c>
      <c r="D41" s="17" t="s">
        <v>429</v>
      </c>
      <c r="E41" s="18">
        <v>2</v>
      </c>
      <c r="F41" s="177" t="s">
        <v>447</v>
      </c>
      <c r="G41" s="192">
        <f>'Sprint Backlog - 27-06-25'!$G$11*4</f>
        <v>20</v>
      </c>
    </row>
    <row r="42" spans="1:7">
      <c r="A42" s="197"/>
      <c r="B42" s="177"/>
      <c r="C42" s="53" t="s">
        <v>448</v>
      </c>
      <c r="D42" s="17" t="s">
        <v>432</v>
      </c>
      <c r="E42" s="18">
        <v>3</v>
      </c>
      <c r="F42" s="177"/>
      <c r="G42" s="192"/>
    </row>
    <row r="43" spans="1:7">
      <c r="A43" s="197"/>
      <c r="B43" s="177"/>
      <c r="C43" s="53" t="s">
        <v>449</v>
      </c>
      <c r="D43" s="17" t="s">
        <v>434</v>
      </c>
      <c r="E43" s="18">
        <v>5</v>
      </c>
      <c r="F43" s="177"/>
      <c r="G43" s="192"/>
    </row>
    <row r="44" spans="1:7">
      <c r="A44" s="197"/>
      <c r="B44" s="177"/>
      <c r="C44" s="53" t="s">
        <v>450</v>
      </c>
      <c r="D44" s="17" t="s">
        <v>436</v>
      </c>
      <c r="E44" s="18">
        <v>1</v>
      </c>
      <c r="F44" s="177"/>
      <c r="G44" s="192"/>
    </row>
    <row r="45" spans="1:7">
      <c r="A45" s="197"/>
      <c r="B45" s="177"/>
      <c r="C45" s="53" t="s">
        <v>451</v>
      </c>
      <c r="D45" s="17" t="s">
        <v>438</v>
      </c>
      <c r="E45" s="18">
        <v>1</v>
      </c>
      <c r="F45" s="177"/>
      <c r="G45" s="192"/>
    </row>
    <row r="46" spans="1:7">
      <c r="A46" s="197" t="s">
        <v>181</v>
      </c>
      <c r="B46" s="177" t="s">
        <v>182</v>
      </c>
      <c r="C46" s="23" t="s">
        <v>423</v>
      </c>
      <c r="D46" s="23" t="s">
        <v>424</v>
      </c>
      <c r="E46" s="23" t="s">
        <v>425</v>
      </c>
      <c r="F46" s="23" t="s">
        <v>426</v>
      </c>
      <c r="G46" s="65" t="s">
        <v>427</v>
      </c>
    </row>
    <row r="47" spans="1:7">
      <c r="A47" s="197"/>
      <c r="B47" s="177"/>
      <c r="C47" s="17" t="s">
        <v>685</v>
      </c>
      <c r="D47" s="17" t="s">
        <v>429</v>
      </c>
      <c r="E47" s="18">
        <v>1</v>
      </c>
      <c r="F47" s="177" t="s">
        <v>686</v>
      </c>
      <c r="G47" s="192">
        <f>'Sprint Backlog - 27-06-25'!$G$12*4</f>
        <v>20</v>
      </c>
    </row>
    <row r="48" spans="1:7">
      <c r="A48" s="197"/>
      <c r="B48" s="177"/>
      <c r="C48" s="17" t="s">
        <v>687</v>
      </c>
      <c r="D48" s="17" t="s">
        <v>432</v>
      </c>
      <c r="E48" s="18">
        <v>8</v>
      </c>
      <c r="F48" s="177"/>
      <c r="G48" s="192"/>
    </row>
    <row r="49" spans="1:7">
      <c r="A49" s="197"/>
      <c r="B49" s="177"/>
      <c r="C49" s="106" t="s">
        <v>688</v>
      </c>
      <c r="D49" s="17" t="s">
        <v>434</v>
      </c>
      <c r="E49" s="18">
        <v>8</v>
      </c>
      <c r="F49" s="177"/>
      <c r="G49" s="192"/>
    </row>
    <row r="50" spans="1:7">
      <c r="A50" s="197"/>
      <c r="B50" s="177"/>
      <c r="C50" s="17" t="s">
        <v>689</v>
      </c>
      <c r="D50" s="17" t="s">
        <v>436</v>
      </c>
      <c r="E50" s="18">
        <v>2</v>
      </c>
      <c r="F50" s="177"/>
      <c r="G50" s="192"/>
    </row>
    <row r="51" spans="1:7">
      <c r="A51" s="197"/>
      <c r="B51" s="177"/>
      <c r="C51" s="17" t="s">
        <v>690</v>
      </c>
      <c r="D51" s="17" t="s">
        <v>438</v>
      </c>
      <c r="E51" s="18">
        <v>1</v>
      </c>
      <c r="F51" s="177"/>
      <c r="G51" s="192"/>
    </row>
    <row r="52" spans="1:7">
      <c r="A52" s="197" t="s">
        <v>185</v>
      </c>
      <c r="B52" s="177" t="s">
        <v>186</v>
      </c>
      <c r="C52" s="23" t="s">
        <v>423</v>
      </c>
      <c r="D52" s="23" t="s">
        <v>424</v>
      </c>
      <c r="E52" s="23" t="s">
        <v>425</v>
      </c>
      <c r="F52" s="23" t="s">
        <v>426</v>
      </c>
      <c r="G52" s="65" t="s">
        <v>427</v>
      </c>
    </row>
    <row r="53" spans="1:7">
      <c r="A53" s="197"/>
      <c r="B53" s="177"/>
      <c r="C53" s="17"/>
      <c r="D53" s="17" t="s">
        <v>429</v>
      </c>
      <c r="E53" s="18"/>
      <c r="F53" s="177" t="s">
        <v>691</v>
      </c>
      <c r="G53" s="192">
        <f>'Sprint Backlog - 27-06-25'!$G$13*4</f>
        <v>12</v>
      </c>
    </row>
    <row r="54" spans="1:7">
      <c r="A54" s="197"/>
      <c r="B54" s="177"/>
      <c r="C54" s="17" t="s">
        <v>692</v>
      </c>
      <c r="D54" s="17" t="s">
        <v>432</v>
      </c>
      <c r="E54" s="18">
        <v>3</v>
      </c>
      <c r="F54" s="177"/>
      <c r="G54" s="192"/>
    </row>
    <row r="55" spans="1:7" ht="27.75">
      <c r="A55" s="197"/>
      <c r="B55" s="177"/>
      <c r="C55" s="17" t="s">
        <v>693</v>
      </c>
      <c r="D55" s="17" t="s">
        <v>434</v>
      </c>
      <c r="E55" s="18">
        <v>7</v>
      </c>
      <c r="F55" s="177"/>
      <c r="G55" s="192"/>
    </row>
    <row r="56" spans="1:7">
      <c r="A56" s="197"/>
      <c r="B56" s="177"/>
      <c r="C56" s="17" t="s">
        <v>694</v>
      </c>
      <c r="D56" s="17" t="s">
        <v>436</v>
      </c>
      <c r="E56" s="18">
        <v>1</v>
      </c>
      <c r="F56" s="177"/>
      <c r="G56" s="192"/>
    </row>
    <row r="57" spans="1:7">
      <c r="A57" s="197"/>
      <c r="B57" s="177"/>
      <c r="C57" s="17" t="s">
        <v>695</v>
      </c>
      <c r="D57" s="17" t="s">
        <v>438</v>
      </c>
      <c r="E57" s="18">
        <v>1</v>
      </c>
      <c r="F57" s="177"/>
      <c r="G57" s="192"/>
    </row>
    <row r="58" spans="1:7">
      <c r="A58" s="197" t="s">
        <v>159</v>
      </c>
      <c r="B58" s="177" t="s">
        <v>160</v>
      </c>
      <c r="C58" s="23" t="s">
        <v>423</v>
      </c>
      <c r="D58" s="23" t="s">
        <v>424</v>
      </c>
      <c r="E58" s="23" t="s">
        <v>425</v>
      </c>
      <c r="F58" s="23" t="s">
        <v>426</v>
      </c>
      <c r="G58" s="65" t="s">
        <v>427</v>
      </c>
    </row>
    <row r="59" spans="1:7">
      <c r="A59" s="197"/>
      <c r="B59" s="177"/>
      <c r="C59" s="17" t="s">
        <v>647</v>
      </c>
      <c r="D59" s="17" t="s">
        <v>429</v>
      </c>
      <c r="E59" s="18">
        <v>2</v>
      </c>
      <c r="F59" s="177" t="s">
        <v>648</v>
      </c>
      <c r="G59" s="203">
        <f>'Sprint Backlog - 27-06-25'!$G$14*4</f>
        <v>20</v>
      </c>
    </row>
    <row r="60" spans="1:7">
      <c r="A60" s="197"/>
      <c r="B60" s="177"/>
      <c r="C60" s="17" t="s">
        <v>649</v>
      </c>
      <c r="D60" s="17" t="s">
        <v>432</v>
      </c>
      <c r="E60" s="18">
        <v>7</v>
      </c>
      <c r="F60" s="177"/>
      <c r="G60" s="204"/>
    </row>
    <row r="61" spans="1:7">
      <c r="A61" s="197"/>
      <c r="B61" s="177"/>
      <c r="C61" s="17" t="s">
        <v>650</v>
      </c>
      <c r="D61" s="17" t="s">
        <v>434</v>
      </c>
      <c r="E61" s="18">
        <v>9</v>
      </c>
      <c r="F61" s="177"/>
      <c r="G61" s="204"/>
    </row>
    <row r="62" spans="1:7">
      <c r="A62" s="197"/>
      <c r="B62" s="177"/>
      <c r="C62" s="17" t="s">
        <v>651</v>
      </c>
      <c r="D62" s="17" t="s">
        <v>436</v>
      </c>
      <c r="E62" s="18">
        <v>1</v>
      </c>
      <c r="F62" s="177"/>
      <c r="G62" s="204"/>
    </row>
    <row r="63" spans="1:7">
      <c r="A63" s="198"/>
      <c r="B63" s="201"/>
      <c r="C63" s="67" t="s">
        <v>652</v>
      </c>
      <c r="D63" s="67" t="s">
        <v>438</v>
      </c>
      <c r="E63" s="66">
        <v>1</v>
      </c>
      <c r="F63" s="201"/>
      <c r="G63" s="206"/>
    </row>
    <row r="65" spans="1:7">
      <c r="A65" s="194" t="s">
        <v>493</v>
      </c>
      <c r="B65" s="195"/>
      <c r="C65" s="195"/>
      <c r="D65" s="195"/>
      <c r="E65" s="195"/>
      <c r="F65" s="195"/>
      <c r="G65" s="196"/>
    </row>
    <row r="66" spans="1:7">
      <c r="A66" s="64" t="s">
        <v>1</v>
      </c>
      <c r="B66" s="23" t="s">
        <v>422</v>
      </c>
      <c r="C66" s="23" t="s">
        <v>423</v>
      </c>
      <c r="D66" s="23" t="s">
        <v>424</v>
      </c>
      <c r="E66" s="23" t="s">
        <v>425</v>
      </c>
      <c r="F66" s="23" t="s">
        <v>426</v>
      </c>
      <c r="G66" s="65" t="s">
        <v>427</v>
      </c>
    </row>
    <row r="67" spans="1:7">
      <c r="A67" s="197" t="s">
        <v>226</v>
      </c>
      <c r="B67" s="199" t="s">
        <v>227</v>
      </c>
      <c r="C67" s="17" t="s">
        <v>742</v>
      </c>
      <c r="D67" s="17" t="s">
        <v>429</v>
      </c>
      <c r="E67" s="18">
        <v>1</v>
      </c>
      <c r="F67" s="177" t="s">
        <v>743</v>
      </c>
      <c r="G67" s="192">
        <f>'Sprint Backlog - 27-06-25'!$G$18*4</f>
        <v>12</v>
      </c>
    </row>
    <row r="68" spans="1:7">
      <c r="A68" s="197"/>
      <c r="B68" s="199"/>
      <c r="C68" s="17" t="s">
        <v>744</v>
      </c>
      <c r="D68" s="17" t="s">
        <v>432</v>
      </c>
      <c r="E68" s="18">
        <v>1</v>
      </c>
      <c r="F68" s="177"/>
      <c r="G68" s="192"/>
    </row>
    <row r="69" spans="1:7" ht="27.75">
      <c r="A69" s="197"/>
      <c r="B69" s="199"/>
      <c r="C69" s="17" t="s">
        <v>745</v>
      </c>
      <c r="D69" s="17" t="s">
        <v>434</v>
      </c>
      <c r="E69" s="18">
        <v>7</v>
      </c>
      <c r="F69" s="177"/>
      <c r="G69" s="192"/>
    </row>
    <row r="70" spans="1:7">
      <c r="A70" s="197"/>
      <c r="B70" s="199"/>
      <c r="C70" s="17" t="s">
        <v>498</v>
      </c>
      <c r="D70" s="17" t="s">
        <v>436</v>
      </c>
      <c r="E70" s="18">
        <v>1</v>
      </c>
      <c r="F70" s="177"/>
      <c r="G70" s="192"/>
    </row>
    <row r="71" spans="1:7">
      <c r="A71" s="197"/>
      <c r="B71" s="199"/>
      <c r="C71" s="17" t="s">
        <v>499</v>
      </c>
      <c r="D71" s="17" t="s">
        <v>438</v>
      </c>
      <c r="E71" s="18">
        <v>2</v>
      </c>
      <c r="F71" s="177"/>
      <c r="G71" s="192"/>
    </row>
    <row r="72" spans="1:7">
      <c r="A72" s="197" t="s">
        <v>249</v>
      </c>
      <c r="B72" s="177" t="s">
        <v>250</v>
      </c>
      <c r="C72" s="23" t="s">
        <v>423</v>
      </c>
      <c r="D72" s="23" t="s">
        <v>424</v>
      </c>
      <c r="E72" s="23" t="s">
        <v>425</v>
      </c>
      <c r="F72" s="23" t="s">
        <v>426</v>
      </c>
      <c r="G72" s="65" t="s">
        <v>427</v>
      </c>
    </row>
    <row r="73" spans="1:7">
      <c r="A73" s="197"/>
      <c r="B73" s="177"/>
      <c r="C73" s="53" t="s">
        <v>584</v>
      </c>
      <c r="D73" s="17" t="s">
        <v>429</v>
      </c>
      <c r="E73" s="18">
        <v>1</v>
      </c>
      <c r="F73" s="177" t="s">
        <v>585</v>
      </c>
      <c r="G73" s="192">
        <f>'Sprint Backlog - 27-06-25'!$G$19*4</f>
        <v>20</v>
      </c>
    </row>
    <row r="74" spans="1:7">
      <c r="A74" s="197"/>
      <c r="B74" s="177"/>
      <c r="C74" s="17" t="s">
        <v>586</v>
      </c>
      <c r="D74" s="17" t="s">
        <v>432</v>
      </c>
      <c r="E74" s="18">
        <v>7</v>
      </c>
      <c r="F74" s="177"/>
      <c r="G74" s="192"/>
    </row>
    <row r="75" spans="1:7">
      <c r="A75" s="197"/>
      <c r="B75" s="177"/>
      <c r="C75" s="17" t="s">
        <v>587</v>
      </c>
      <c r="D75" s="17" t="s">
        <v>434</v>
      </c>
      <c r="E75" s="18">
        <v>9</v>
      </c>
      <c r="F75" s="177"/>
      <c r="G75" s="192"/>
    </row>
    <row r="76" spans="1:7">
      <c r="A76" s="197"/>
      <c r="B76" s="177"/>
      <c r="C76" s="17" t="s">
        <v>588</v>
      </c>
      <c r="D76" s="17" t="s">
        <v>436</v>
      </c>
      <c r="E76" s="18">
        <v>2</v>
      </c>
      <c r="F76" s="177"/>
      <c r="G76" s="192"/>
    </row>
    <row r="77" spans="1:7">
      <c r="A77" s="197"/>
      <c r="B77" s="177"/>
      <c r="C77" s="17" t="s">
        <v>589</v>
      </c>
      <c r="D77" s="17" t="s">
        <v>438</v>
      </c>
      <c r="E77" s="18">
        <v>1</v>
      </c>
      <c r="F77" s="177"/>
      <c r="G77" s="192"/>
    </row>
    <row r="78" spans="1:7">
      <c r="A78" s="197" t="s">
        <v>79</v>
      </c>
      <c r="B78" s="199" t="s">
        <v>80</v>
      </c>
      <c r="C78" s="23" t="s">
        <v>423</v>
      </c>
      <c r="D78" s="23" t="s">
        <v>424</v>
      </c>
      <c r="E78" s="23" t="s">
        <v>425</v>
      </c>
      <c r="F78" s="23" t="s">
        <v>426</v>
      </c>
      <c r="G78" s="65" t="s">
        <v>427</v>
      </c>
    </row>
    <row r="79" spans="1:7">
      <c r="A79" s="197"/>
      <c r="B79" s="199"/>
      <c r="C79" s="17" t="s">
        <v>526</v>
      </c>
      <c r="D79" s="17" t="s">
        <v>429</v>
      </c>
      <c r="E79" s="18">
        <v>2</v>
      </c>
      <c r="F79" s="177" t="s">
        <v>527</v>
      </c>
      <c r="G79" s="192">
        <f>'Sprint Backlog - 27-06-25'!$G$20*4</f>
        <v>12</v>
      </c>
    </row>
    <row r="80" spans="1:7">
      <c r="A80" s="197"/>
      <c r="B80" s="199"/>
      <c r="C80" s="17" t="s">
        <v>528</v>
      </c>
      <c r="D80" s="17" t="s">
        <v>432</v>
      </c>
      <c r="E80" s="18">
        <v>4</v>
      </c>
      <c r="F80" s="177"/>
      <c r="G80" s="192"/>
    </row>
    <row r="81" spans="1:7">
      <c r="A81" s="197"/>
      <c r="B81" s="199"/>
      <c r="C81" s="17" t="s">
        <v>529</v>
      </c>
      <c r="D81" s="17" t="s">
        <v>434</v>
      </c>
      <c r="E81" s="18">
        <v>3</v>
      </c>
      <c r="F81" s="177"/>
      <c r="G81" s="192"/>
    </row>
    <row r="82" spans="1:7">
      <c r="A82" s="197"/>
      <c r="B82" s="199"/>
      <c r="C82" s="17" t="s">
        <v>530</v>
      </c>
      <c r="D82" s="17" t="s">
        <v>436</v>
      </c>
      <c r="E82" s="18">
        <v>2</v>
      </c>
      <c r="F82" s="177"/>
      <c r="G82" s="192"/>
    </row>
    <row r="83" spans="1:7">
      <c r="A83" s="197"/>
      <c r="B83" s="199"/>
      <c r="C83" s="17" t="s">
        <v>531</v>
      </c>
      <c r="D83" s="17" t="s">
        <v>438</v>
      </c>
      <c r="E83" s="18">
        <v>1</v>
      </c>
      <c r="F83" s="177"/>
      <c r="G83" s="192"/>
    </row>
    <row r="84" spans="1:7">
      <c r="A84" s="197" t="s">
        <v>83</v>
      </c>
      <c r="B84" s="177" t="s">
        <v>84</v>
      </c>
      <c r="C84" s="23" t="s">
        <v>423</v>
      </c>
      <c r="D84" s="23" t="s">
        <v>424</v>
      </c>
      <c r="E84" s="23" t="s">
        <v>425</v>
      </c>
      <c r="F84" s="23" t="s">
        <v>426</v>
      </c>
      <c r="G84" s="65" t="s">
        <v>427</v>
      </c>
    </row>
    <row r="85" spans="1:7">
      <c r="A85" s="197"/>
      <c r="B85" s="177"/>
      <c r="C85" s="17" t="s">
        <v>532</v>
      </c>
      <c r="D85" s="17" t="s">
        <v>429</v>
      </c>
      <c r="E85" s="18">
        <v>2</v>
      </c>
      <c r="F85" s="177" t="s">
        <v>533</v>
      </c>
      <c r="G85" s="192">
        <f>'Sprint Backlog - 27-06-25'!$G$21*4</f>
        <v>20</v>
      </c>
    </row>
    <row r="86" spans="1:7">
      <c r="A86" s="197"/>
      <c r="B86" s="177"/>
      <c r="C86" s="17" t="s">
        <v>534</v>
      </c>
      <c r="D86" s="17" t="s">
        <v>432</v>
      </c>
      <c r="E86" s="18">
        <v>6</v>
      </c>
      <c r="F86" s="177"/>
      <c r="G86" s="192"/>
    </row>
    <row r="87" spans="1:7">
      <c r="A87" s="197"/>
      <c r="B87" s="177"/>
      <c r="C87" s="58" t="s">
        <v>535</v>
      </c>
      <c r="D87" s="17" t="s">
        <v>434</v>
      </c>
      <c r="E87" s="18">
        <v>9</v>
      </c>
      <c r="F87" s="177"/>
      <c r="G87" s="192"/>
    </row>
    <row r="88" spans="1:7">
      <c r="A88" s="197"/>
      <c r="B88" s="177"/>
      <c r="C88" s="58" t="s">
        <v>536</v>
      </c>
      <c r="D88" s="17" t="s">
        <v>436</v>
      </c>
      <c r="E88" s="18">
        <v>1</v>
      </c>
      <c r="F88" s="177"/>
      <c r="G88" s="192"/>
    </row>
    <row r="89" spans="1:7">
      <c r="A89" s="197"/>
      <c r="B89" s="177"/>
      <c r="C89" s="17" t="s">
        <v>537</v>
      </c>
      <c r="D89" s="17" t="s">
        <v>438</v>
      </c>
      <c r="E89" s="18">
        <v>1</v>
      </c>
      <c r="F89" s="177"/>
      <c r="G89" s="192"/>
    </row>
    <row r="90" spans="1:7">
      <c r="A90" s="197" t="s">
        <v>87</v>
      </c>
      <c r="B90" s="177" t="s">
        <v>88</v>
      </c>
      <c r="C90" s="23" t="s">
        <v>423</v>
      </c>
      <c r="D90" s="23" t="s">
        <v>424</v>
      </c>
      <c r="E90" s="23" t="s">
        <v>425</v>
      </c>
      <c r="F90" s="23" t="s">
        <v>426</v>
      </c>
      <c r="G90" s="65" t="s">
        <v>427</v>
      </c>
    </row>
    <row r="91" spans="1:7">
      <c r="A91" s="197"/>
      <c r="B91" s="177"/>
      <c r="C91" s="17" t="s">
        <v>538</v>
      </c>
      <c r="D91" s="17" t="s">
        <v>429</v>
      </c>
      <c r="E91" s="18">
        <v>1</v>
      </c>
      <c r="F91" s="177" t="s">
        <v>539</v>
      </c>
      <c r="G91" s="192">
        <f>'Sprint Backlog - 27-06-25'!$G$22*4</f>
        <v>12</v>
      </c>
    </row>
    <row r="92" spans="1:7">
      <c r="A92" s="197"/>
      <c r="B92" s="177"/>
      <c r="C92" s="17" t="s">
        <v>540</v>
      </c>
      <c r="D92" s="17" t="s">
        <v>432</v>
      </c>
      <c r="E92" s="18">
        <v>3</v>
      </c>
      <c r="F92" s="177"/>
      <c r="G92" s="192"/>
    </row>
    <row r="93" spans="1:7">
      <c r="A93" s="197"/>
      <c r="B93" s="177"/>
      <c r="C93" s="17" t="s">
        <v>541</v>
      </c>
      <c r="D93" s="17" t="s">
        <v>434</v>
      </c>
      <c r="E93" s="18">
        <v>6</v>
      </c>
      <c r="F93" s="177"/>
      <c r="G93" s="192"/>
    </row>
    <row r="94" spans="1:7">
      <c r="A94" s="197"/>
      <c r="B94" s="177"/>
      <c r="C94" s="17" t="s">
        <v>542</v>
      </c>
      <c r="D94" s="17" t="s">
        <v>436</v>
      </c>
      <c r="E94" s="18">
        <v>1</v>
      </c>
      <c r="F94" s="177"/>
      <c r="G94" s="192"/>
    </row>
    <row r="95" spans="1:7">
      <c r="A95" s="197"/>
      <c r="B95" s="177"/>
      <c r="C95" s="17" t="s">
        <v>543</v>
      </c>
      <c r="D95" s="17" t="s">
        <v>438</v>
      </c>
      <c r="E95" s="18">
        <v>1</v>
      </c>
      <c r="F95" s="177"/>
      <c r="G95" s="192"/>
    </row>
    <row r="96" spans="1:7">
      <c r="A96" s="197" t="s">
        <v>44</v>
      </c>
      <c r="B96" s="199" t="s">
        <v>45</v>
      </c>
      <c r="C96" s="23" t="s">
        <v>423</v>
      </c>
      <c r="D96" s="23" t="s">
        <v>424</v>
      </c>
      <c r="E96" s="23" t="s">
        <v>425</v>
      </c>
      <c r="F96" s="23" t="s">
        <v>426</v>
      </c>
      <c r="G96" s="65" t="s">
        <v>427</v>
      </c>
    </row>
    <row r="97" spans="1:7">
      <c r="A97" s="197"/>
      <c r="B97" s="199"/>
      <c r="C97" s="17" t="s">
        <v>483</v>
      </c>
      <c r="D97" s="17" t="s">
        <v>429</v>
      </c>
      <c r="E97" s="18">
        <v>2</v>
      </c>
      <c r="F97" s="177" t="s">
        <v>484</v>
      </c>
      <c r="G97" s="203">
        <f>'Sprint Backlog - 27-06-25'!$G$23*4</f>
        <v>8</v>
      </c>
    </row>
    <row r="98" spans="1:7">
      <c r="A98" s="197"/>
      <c r="B98" s="199"/>
      <c r="C98" s="17" t="s">
        <v>485</v>
      </c>
      <c r="D98" s="17" t="s">
        <v>432</v>
      </c>
      <c r="E98" s="18">
        <v>4</v>
      </c>
      <c r="F98" s="177"/>
      <c r="G98" s="204"/>
    </row>
    <row r="99" spans="1:7">
      <c r="A99" s="197"/>
      <c r="B99" s="199"/>
      <c r="C99" s="17"/>
      <c r="D99" s="17" t="s">
        <v>434</v>
      </c>
      <c r="E99" s="18"/>
      <c r="F99" s="177"/>
      <c r="G99" s="204"/>
    </row>
    <row r="100" spans="1:7">
      <c r="A100" s="197"/>
      <c r="B100" s="199"/>
      <c r="C100" s="17" t="s">
        <v>486</v>
      </c>
      <c r="D100" s="17" t="s">
        <v>436</v>
      </c>
      <c r="E100" s="18">
        <v>1</v>
      </c>
      <c r="F100" s="177"/>
      <c r="G100" s="204"/>
    </row>
    <row r="101" spans="1:7">
      <c r="A101" s="198"/>
      <c r="B101" s="200"/>
      <c r="C101" s="131" t="s">
        <v>45</v>
      </c>
      <c r="D101" s="67" t="s">
        <v>438</v>
      </c>
      <c r="E101" s="66">
        <v>1</v>
      </c>
      <c r="F101" s="201"/>
      <c r="G101" s="206"/>
    </row>
    <row r="103" spans="1:7">
      <c r="A103" s="194" t="s">
        <v>525</v>
      </c>
      <c r="B103" s="195"/>
      <c r="C103" s="195"/>
      <c r="D103" s="195"/>
      <c r="E103" s="195"/>
      <c r="F103" s="195"/>
      <c r="G103" s="196"/>
    </row>
    <row r="104" spans="1:7">
      <c r="A104" s="64" t="s">
        <v>1</v>
      </c>
      <c r="B104" s="23" t="s">
        <v>422</v>
      </c>
      <c r="C104" s="23" t="s">
        <v>423</v>
      </c>
      <c r="D104" s="23" t="s">
        <v>424</v>
      </c>
      <c r="E104" s="23" t="s">
        <v>425</v>
      </c>
      <c r="F104" s="23" t="s">
        <v>426</v>
      </c>
      <c r="G104" s="65" t="s">
        <v>427</v>
      </c>
    </row>
    <row r="105" spans="1:7">
      <c r="A105" s="197" t="s">
        <v>35</v>
      </c>
      <c r="B105" s="177" t="s">
        <v>36</v>
      </c>
      <c r="C105" s="17" t="s">
        <v>471</v>
      </c>
      <c r="D105" s="17" t="s">
        <v>429</v>
      </c>
      <c r="E105" s="18">
        <v>2</v>
      </c>
      <c r="F105" s="177" t="s">
        <v>472</v>
      </c>
      <c r="G105" s="192">
        <f>'Sprint Backlog - 27-06-25'!$G$27*4</f>
        <v>20</v>
      </c>
    </row>
    <row r="106" spans="1:7">
      <c r="A106" s="197"/>
      <c r="B106" s="177"/>
      <c r="C106" s="17" t="s">
        <v>473</v>
      </c>
      <c r="D106" s="17" t="s">
        <v>432</v>
      </c>
      <c r="E106" s="18">
        <v>5</v>
      </c>
      <c r="F106" s="177"/>
      <c r="G106" s="192"/>
    </row>
    <row r="107" spans="1:7">
      <c r="A107" s="197"/>
      <c r="B107" s="177"/>
      <c r="C107" s="17" t="s">
        <v>474</v>
      </c>
      <c r="D107" s="17" t="s">
        <v>434</v>
      </c>
      <c r="E107" s="18">
        <v>9</v>
      </c>
      <c r="F107" s="177"/>
      <c r="G107" s="192"/>
    </row>
    <row r="108" spans="1:7">
      <c r="A108" s="197"/>
      <c r="B108" s="177"/>
      <c r="C108" s="17" t="s">
        <v>475</v>
      </c>
      <c r="D108" s="17" t="s">
        <v>436</v>
      </c>
      <c r="E108" s="18">
        <v>3</v>
      </c>
      <c r="F108" s="177"/>
      <c r="G108" s="192"/>
    </row>
    <row r="109" spans="1:7">
      <c r="A109" s="197"/>
      <c r="B109" s="177"/>
      <c r="C109" s="17" t="s">
        <v>476</v>
      </c>
      <c r="D109" s="17" t="s">
        <v>438</v>
      </c>
      <c r="E109" s="18">
        <v>1</v>
      </c>
      <c r="F109" s="177"/>
      <c r="G109" s="192"/>
    </row>
    <row r="110" spans="1:7">
      <c r="A110" s="197" t="s">
        <v>200</v>
      </c>
      <c r="B110" s="177" t="s">
        <v>201</v>
      </c>
      <c r="C110" s="23" t="s">
        <v>423</v>
      </c>
      <c r="D110" s="23" t="s">
        <v>424</v>
      </c>
      <c r="E110" s="23" t="s">
        <v>425</v>
      </c>
      <c r="F110" s="23" t="s">
        <v>426</v>
      </c>
      <c r="G110" s="65" t="s">
        <v>427</v>
      </c>
    </row>
    <row r="111" spans="1:7" ht="106.5" customHeight="1">
      <c r="A111" s="197"/>
      <c r="B111" s="177"/>
      <c r="C111" s="17" t="s">
        <v>709</v>
      </c>
      <c r="D111" s="17" t="s">
        <v>429</v>
      </c>
      <c r="E111" s="18">
        <v>2</v>
      </c>
      <c r="F111" s="177" t="s">
        <v>710</v>
      </c>
      <c r="G111" s="192">
        <f>'Sprint Backlog - 27-06-25'!$G$28*4</f>
        <v>20</v>
      </c>
    </row>
    <row r="112" spans="1:7">
      <c r="A112" s="197"/>
      <c r="B112" s="177"/>
      <c r="C112" s="17" t="s">
        <v>711</v>
      </c>
      <c r="D112" s="17" t="s">
        <v>432</v>
      </c>
      <c r="E112" s="18">
        <v>20</v>
      </c>
      <c r="F112" s="177"/>
      <c r="G112" s="192"/>
    </row>
    <row r="113" spans="1:7">
      <c r="A113" s="197"/>
      <c r="B113" s="177"/>
      <c r="C113" s="17" t="s">
        <v>712</v>
      </c>
      <c r="D113" s="17" t="s">
        <v>434</v>
      </c>
      <c r="E113" s="18">
        <v>25</v>
      </c>
      <c r="F113" s="177"/>
      <c r="G113" s="192"/>
    </row>
    <row r="114" spans="1:7">
      <c r="A114" s="197"/>
      <c r="B114" s="177"/>
      <c r="C114" s="17" t="s">
        <v>713</v>
      </c>
      <c r="D114" s="17" t="s">
        <v>436</v>
      </c>
      <c r="E114" s="18">
        <v>3</v>
      </c>
      <c r="F114" s="177"/>
      <c r="G114" s="192"/>
    </row>
    <row r="115" spans="1:7">
      <c r="A115" s="197"/>
      <c r="B115" s="177"/>
      <c r="C115" s="17" t="s">
        <v>714</v>
      </c>
      <c r="D115" s="17" t="s">
        <v>438</v>
      </c>
      <c r="E115" s="18">
        <v>2</v>
      </c>
      <c r="F115" s="177"/>
      <c r="G115" s="192"/>
    </row>
    <row r="116" spans="1:7">
      <c r="A116" s="197" t="s">
        <v>25</v>
      </c>
      <c r="B116" s="199" t="s">
        <v>26</v>
      </c>
      <c r="C116" s="23" t="s">
        <v>423</v>
      </c>
      <c r="D116" s="23" t="s">
        <v>424</v>
      </c>
      <c r="E116" s="23" t="s">
        <v>425</v>
      </c>
      <c r="F116" s="23" t="s">
        <v>426</v>
      </c>
      <c r="G116" s="65" t="s">
        <v>427</v>
      </c>
    </row>
    <row r="117" spans="1:7">
      <c r="A117" s="197"/>
      <c r="B117" s="199"/>
      <c r="C117" s="17" t="s">
        <v>458</v>
      </c>
      <c r="D117" s="17" t="s">
        <v>429</v>
      </c>
      <c r="E117" s="18">
        <v>1</v>
      </c>
      <c r="F117" s="177" t="s">
        <v>459</v>
      </c>
      <c r="G117" s="192">
        <f>'Sprint Backlog - 27-06-25'!$G$29*4</f>
        <v>8</v>
      </c>
    </row>
    <row r="118" spans="1:7">
      <c r="A118" s="197"/>
      <c r="B118" s="199"/>
      <c r="C118" s="17" t="s">
        <v>460</v>
      </c>
      <c r="D118" s="17" t="s">
        <v>432</v>
      </c>
      <c r="E118" s="18">
        <v>2</v>
      </c>
      <c r="F118" s="177"/>
      <c r="G118" s="192"/>
    </row>
    <row r="119" spans="1:7">
      <c r="A119" s="197"/>
      <c r="B119" s="199"/>
      <c r="C119" s="17" t="s">
        <v>461</v>
      </c>
      <c r="D119" s="17" t="s">
        <v>434</v>
      </c>
      <c r="E119" s="18">
        <v>3</v>
      </c>
      <c r="F119" s="177"/>
      <c r="G119" s="192"/>
    </row>
    <row r="120" spans="1:7">
      <c r="A120" s="197"/>
      <c r="B120" s="199"/>
      <c r="C120" s="17" t="s">
        <v>462</v>
      </c>
      <c r="D120" s="17" t="s">
        <v>436</v>
      </c>
      <c r="E120" s="18">
        <v>1</v>
      </c>
      <c r="F120" s="177"/>
      <c r="G120" s="192"/>
    </row>
    <row r="121" spans="1:7">
      <c r="A121" s="197"/>
      <c r="B121" s="199"/>
      <c r="C121" s="17" t="s">
        <v>463</v>
      </c>
      <c r="D121" s="17" t="s">
        <v>438</v>
      </c>
      <c r="E121" s="18">
        <v>1</v>
      </c>
      <c r="F121" s="177"/>
      <c r="G121" s="192"/>
    </row>
    <row r="122" spans="1:7">
      <c r="A122" s="197" t="s">
        <v>20</v>
      </c>
      <c r="B122" s="177" t="s">
        <v>21</v>
      </c>
      <c r="C122" s="23" t="s">
        <v>423</v>
      </c>
      <c r="D122" s="23" t="s">
        <v>424</v>
      </c>
      <c r="E122" s="23" t="s">
        <v>425</v>
      </c>
      <c r="F122" s="23" t="s">
        <v>426</v>
      </c>
      <c r="G122" s="65" t="s">
        <v>427</v>
      </c>
    </row>
    <row r="123" spans="1:7">
      <c r="A123" s="197"/>
      <c r="B123" s="177"/>
      <c r="C123" s="17" t="s">
        <v>452</v>
      </c>
      <c r="D123" s="17" t="s">
        <v>429</v>
      </c>
      <c r="E123" s="18">
        <v>2</v>
      </c>
      <c r="F123" s="177" t="s">
        <v>453</v>
      </c>
      <c r="G123" s="192">
        <f>'Sprint Backlog - 27-06-25'!$G$30*4</f>
        <v>20</v>
      </c>
    </row>
    <row r="124" spans="1:7">
      <c r="A124" s="197"/>
      <c r="B124" s="177"/>
      <c r="C124" s="53" t="s">
        <v>454</v>
      </c>
      <c r="D124" s="55" t="s">
        <v>432</v>
      </c>
      <c r="E124" s="18">
        <v>6</v>
      </c>
      <c r="F124" s="177"/>
      <c r="G124" s="192"/>
    </row>
    <row r="125" spans="1:7">
      <c r="A125" s="197"/>
      <c r="B125" s="177"/>
      <c r="C125" s="53" t="s">
        <v>455</v>
      </c>
      <c r="D125" s="17" t="s">
        <v>434</v>
      </c>
      <c r="E125" s="18">
        <v>8</v>
      </c>
      <c r="F125" s="177"/>
      <c r="G125" s="192"/>
    </row>
    <row r="126" spans="1:7">
      <c r="A126" s="197"/>
      <c r="B126" s="177"/>
      <c r="C126" s="53" t="s">
        <v>456</v>
      </c>
      <c r="D126" s="17" t="s">
        <v>436</v>
      </c>
      <c r="E126" s="18">
        <v>3</v>
      </c>
      <c r="F126" s="177"/>
      <c r="G126" s="192"/>
    </row>
    <row r="127" spans="1:7">
      <c r="A127" s="197"/>
      <c r="B127" s="177"/>
      <c r="C127" s="17" t="s">
        <v>457</v>
      </c>
      <c r="D127" s="17" t="s">
        <v>438</v>
      </c>
      <c r="E127" s="18">
        <v>1</v>
      </c>
      <c r="F127" s="177"/>
      <c r="G127" s="192"/>
    </row>
    <row r="128" spans="1:7">
      <c r="A128" s="197" t="s">
        <v>120</v>
      </c>
      <c r="B128" s="177" t="s">
        <v>121</v>
      </c>
      <c r="C128" s="23" t="s">
        <v>423</v>
      </c>
      <c r="D128" s="23" t="s">
        <v>424</v>
      </c>
      <c r="E128" s="23" t="s">
        <v>425</v>
      </c>
      <c r="F128" s="23" t="s">
        <v>426</v>
      </c>
      <c r="G128" s="65" t="s">
        <v>427</v>
      </c>
    </row>
    <row r="129" spans="1:7">
      <c r="A129" s="197"/>
      <c r="B129" s="177"/>
      <c r="C129" s="17" t="s">
        <v>579</v>
      </c>
      <c r="D129" s="17" t="s">
        <v>429</v>
      </c>
      <c r="E129" s="18">
        <v>2</v>
      </c>
      <c r="F129" s="177" t="s">
        <v>580</v>
      </c>
      <c r="G129" s="192">
        <f>'Sprint Backlog - 27-06-25'!$G$31*4</f>
        <v>8</v>
      </c>
    </row>
    <row r="130" spans="1:7" ht="27.75">
      <c r="A130" s="197"/>
      <c r="B130" s="177"/>
      <c r="C130" s="17" t="s">
        <v>581</v>
      </c>
      <c r="D130" s="17" t="s">
        <v>432</v>
      </c>
      <c r="E130" s="18">
        <v>4</v>
      </c>
      <c r="F130" s="177"/>
      <c r="G130" s="192"/>
    </row>
    <row r="131" spans="1:7">
      <c r="A131" s="197"/>
      <c r="B131" s="177"/>
      <c r="C131" s="17"/>
      <c r="D131" s="17" t="s">
        <v>434</v>
      </c>
      <c r="E131" s="18"/>
      <c r="F131" s="177"/>
      <c r="G131" s="192"/>
    </row>
    <row r="132" spans="1:7">
      <c r="A132" s="197"/>
      <c r="B132" s="177"/>
      <c r="C132" s="17" t="s">
        <v>582</v>
      </c>
      <c r="D132" s="17" t="s">
        <v>436</v>
      </c>
      <c r="E132" s="18">
        <v>1</v>
      </c>
      <c r="F132" s="177"/>
      <c r="G132" s="192"/>
    </row>
    <row r="133" spans="1:7">
      <c r="A133" s="197"/>
      <c r="B133" s="177"/>
      <c r="C133" s="17" t="s">
        <v>583</v>
      </c>
      <c r="D133" s="17" t="s">
        <v>438</v>
      </c>
      <c r="E133" s="18">
        <v>1</v>
      </c>
      <c r="F133" s="177"/>
      <c r="G133" s="192"/>
    </row>
    <row r="134" spans="1:7">
      <c r="A134" s="197" t="s">
        <v>115</v>
      </c>
      <c r="B134" s="177" t="s">
        <v>116</v>
      </c>
      <c r="C134" s="23" t="s">
        <v>423</v>
      </c>
      <c r="D134" s="23" t="s">
        <v>424</v>
      </c>
      <c r="E134" s="23" t="s">
        <v>425</v>
      </c>
      <c r="F134" s="23" t="s">
        <v>426</v>
      </c>
      <c r="G134" s="65" t="s">
        <v>427</v>
      </c>
    </row>
    <row r="135" spans="1:7">
      <c r="A135" s="197"/>
      <c r="B135" s="177"/>
      <c r="C135" s="17" t="s">
        <v>573</v>
      </c>
      <c r="D135" s="17" t="s">
        <v>429</v>
      </c>
      <c r="E135" s="18">
        <v>1</v>
      </c>
      <c r="F135" s="177" t="s">
        <v>574</v>
      </c>
      <c r="G135" s="203">
        <f>'Sprint Backlog - 27-06-25'!$G$32*4</f>
        <v>8</v>
      </c>
    </row>
    <row r="136" spans="1:7">
      <c r="A136" s="197"/>
      <c r="B136" s="177"/>
      <c r="C136" s="17" t="s">
        <v>575</v>
      </c>
      <c r="D136" s="17" t="s">
        <v>432</v>
      </c>
      <c r="E136" s="18">
        <v>2</v>
      </c>
      <c r="F136" s="177"/>
      <c r="G136" s="204"/>
    </row>
    <row r="137" spans="1:7">
      <c r="A137" s="197"/>
      <c r="B137" s="177"/>
      <c r="C137" s="17" t="s">
        <v>576</v>
      </c>
      <c r="D137" s="17" t="s">
        <v>434</v>
      </c>
      <c r="E137" s="18">
        <v>3</v>
      </c>
      <c r="F137" s="177"/>
      <c r="G137" s="204"/>
    </row>
    <row r="138" spans="1:7">
      <c r="A138" s="197"/>
      <c r="B138" s="177"/>
      <c r="C138" s="17" t="s">
        <v>577</v>
      </c>
      <c r="D138" s="17" t="s">
        <v>436</v>
      </c>
      <c r="E138" s="18">
        <v>1</v>
      </c>
      <c r="F138" s="177"/>
      <c r="G138" s="204"/>
    </row>
    <row r="139" spans="1:7">
      <c r="A139" s="198"/>
      <c r="B139" s="201"/>
      <c r="C139" s="67" t="s">
        <v>578</v>
      </c>
      <c r="D139" s="67" t="s">
        <v>438</v>
      </c>
      <c r="E139" s="66">
        <v>1</v>
      </c>
      <c r="F139" s="201"/>
      <c r="G139" s="206"/>
    </row>
    <row r="141" spans="1:7">
      <c r="A141" s="194" t="s">
        <v>556</v>
      </c>
      <c r="B141" s="195"/>
      <c r="C141" s="195"/>
      <c r="D141" s="195"/>
      <c r="E141" s="195"/>
      <c r="F141" s="195"/>
      <c r="G141" s="196"/>
    </row>
    <row r="142" spans="1:7">
      <c r="A142" s="64" t="s">
        <v>1</v>
      </c>
      <c r="B142" s="23" t="s">
        <v>422</v>
      </c>
      <c r="C142" s="23" t="s">
        <v>423</v>
      </c>
      <c r="D142" s="23" t="s">
        <v>424</v>
      </c>
      <c r="E142" s="23" t="s">
        <v>425</v>
      </c>
      <c r="F142" s="23" t="s">
        <v>426</v>
      </c>
      <c r="G142" s="65" t="s">
        <v>427</v>
      </c>
    </row>
    <row r="143" spans="1:7">
      <c r="A143" s="197" t="s">
        <v>102</v>
      </c>
      <c r="B143" s="199" t="s">
        <v>103</v>
      </c>
      <c r="C143" s="17" t="s">
        <v>557</v>
      </c>
      <c r="D143" s="17" t="s">
        <v>429</v>
      </c>
      <c r="E143" s="18">
        <v>2</v>
      </c>
      <c r="F143" s="177" t="s">
        <v>558</v>
      </c>
      <c r="G143" s="192">
        <f>'Sprint Backlog - 27-06-25'!$G$36*4</f>
        <v>8</v>
      </c>
    </row>
    <row r="144" spans="1:7">
      <c r="A144" s="197"/>
      <c r="B144" s="199"/>
      <c r="C144" s="17" t="s">
        <v>559</v>
      </c>
      <c r="D144" s="17" t="s">
        <v>432</v>
      </c>
      <c r="E144" s="18">
        <v>4</v>
      </c>
      <c r="F144" s="177"/>
      <c r="G144" s="192"/>
    </row>
    <row r="145" spans="1:7">
      <c r="A145" s="197"/>
      <c r="B145" s="199"/>
      <c r="C145" s="17"/>
      <c r="D145" s="17" t="s">
        <v>434</v>
      </c>
      <c r="E145" s="18"/>
      <c r="F145" s="177"/>
      <c r="G145" s="192"/>
    </row>
    <row r="146" spans="1:7">
      <c r="A146" s="197"/>
      <c r="B146" s="199"/>
      <c r="C146" s="17" t="s">
        <v>560</v>
      </c>
      <c r="D146" s="17" t="s">
        <v>436</v>
      </c>
      <c r="E146" s="18">
        <v>1</v>
      </c>
      <c r="F146" s="177"/>
      <c r="G146" s="192"/>
    </row>
    <row r="147" spans="1:7">
      <c r="A147" s="197"/>
      <c r="B147" s="199"/>
      <c r="C147" s="17" t="s">
        <v>499</v>
      </c>
      <c r="D147" s="17" t="s">
        <v>438</v>
      </c>
      <c r="E147" s="18">
        <v>1</v>
      </c>
      <c r="F147" s="177"/>
      <c r="G147" s="192"/>
    </row>
    <row r="148" spans="1:7">
      <c r="A148" s="207" t="s">
        <v>125</v>
      </c>
      <c r="B148" s="210" t="s">
        <v>126</v>
      </c>
      <c r="C148" s="23" t="s">
        <v>423</v>
      </c>
      <c r="D148" s="23" t="s">
        <v>424</v>
      </c>
      <c r="E148" s="23" t="s">
        <v>425</v>
      </c>
      <c r="F148" s="23" t="s">
        <v>426</v>
      </c>
      <c r="G148" s="65" t="s">
        <v>427</v>
      </c>
    </row>
    <row r="149" spans="1:7">
      <c r="A149" s="208"/>
      <c r="B149" s="211"/>
      <c r="C149" s="17" t="s">
        <v>604</v>
      </c>
      <c r="D149" s="17" t="s">
        <v>429</v>
      </c>
      <c r="E149" s="18">
        <v>2</v>
      </c>
      <c r="F149" s="177" t="s">
        <v>605</v>
      </c>
      <c r="G149" s="192">
        <f>'Sprint Backlog - 27-06-25'!$G$37*4</f>
        <v>20</v>
      </c>
    </row>
    <row r="150" spans="1:7">
      <c r="A150" s="208"/>
      <c r="B150" s="211"/>
      <c r="C150" s="17" t="s">
        <v>606</v>
      </c>
      <c r="D150" s="17" t="s">
        <v>432</v>
      </c>
      <c r="E150" s="18">
        <v>8</v>
      </c>
      <c r="F150" s="177"/>
      <c r="G150" s="192"/>
    </row>
    <row r="151" spans="1:7">
      <c r="A151" s="208"/>
      <c r="B151" s="211"/>
      <c r="C151" s="17" t="s">
        <v>607</v>
      </c>
      <c r="D151" s="17" t="s">
        <v>434</v>
      </c>
      <c r="E151" s="18">
        <v>8</v>
      </c>
      <c r="F151" s="177"/>
      <c r="G151" s="192"/>
    </row>
    <row r="152" spans="1:7">
      <c r="A152" s="208"/>
      <c r="B152" s="211"/>
      <c r="C152" s="17" t="s">
        <v>608</v>
      </c>
      <c r="D152" s="17" t="s">
        <v>436</v>
      </c>
      <c r="E152" s="18">
        <v>1</v>
      </c>
      <c r="F152" s="177"/>
      <c r="G152" s="192"/>
    </row>
    <row r="153" spans="1:7">
      <c r="A153" s="209"/>
      <c r="B153" s="212"/>
      <c r="C153" s="17" t="s">
        <v>609</v>
      </c>
      <c r="D153" s="17" t="s">
        <v>438</v>
      </c>
      <c r="E153" s="18">
        <v>1</v>
      </c>
      <c r="F153" s="177"/>
      <c r="G153" s="192"/>
    </row>
    <row r="154" spans="1:7">
      <c r="A154" s="197" t="s">
        <v>129</v>
      </c>
      <c r="B154" s="177" t="s">
        <v>130</v>
      </c>
      <c r="C154" s="23" t="s">
        <v>423</v>
      </c>
      <c r="D154" s="23" t="s">
        <v>424</v>
      </c>
      <c r="E154" s="23" t="s">
        <v>425</v>
      </c>
      <c r="F154" s="23" t="s">
        <v>426</v>
      </c>
      <c r="G154" s="65" t="s">
        <v>427</v>
      </c>
    </row>
    <row r="155" spans="1:7">
      <c r="A155" s="197"/>
      <c r="B155" s="177"/>
      <c r="C155" s="17" t="s">
        <v>610</v>
      </c>
      <c r="D155" s="17" t="s">
        <v>429</v>
      </c>
      <c r="E155" s="18">
        <v>1</v>
      </c>
      <c r="F155" s="177" t="s">
        <v>611</v>
      </c>
      <c r="G155" s="192">
        <f>'Sprint Backlog - 27-06-25'!$G$38*4</f>
        <v>12</v>
      </c>
    </row>
    <row r="156" spans="1:7">
      <c r="A156" s="197"/>
      <c r="B156" s="177"/>
      <c r="C156" s="17" t="s">
        <v>612</v>
      </c>
      <c r="D156" s="17" t="s">
        <v>432</v>
      </c>
      <c r="E156" s="18">
        <v>4</v>
      </c>
      <c r="F156" s="177"/>
      <c r="G156" s="192"/>
    </row>
    <row r="157" spans="1:7">
      <c r="A157" s="197"/>
      <c r="B157" s="177"/>
      <c r="C157" s="53" t="s">
        <v>613</v>
      </c>
      <c r="D157" s="17" t="s">
        <v>434</v>
      </c>
      <c r="E157" s="18">
        <v>5</v>
      </c>
      <c r="F157" s="177"/>
      <c r="G157" s="192"/>
    </row>
    <row r="158" spans="1:7">
      <c r="A158" s="197"/>
      <c r="B158" s="177"/>
      <c r="C158" s="53" t="s">
        <v>614</v>
      </c>
      <c r="D158" s="17" t="s">
        <v>436</v>
      </c>
      <c r="E158" s="18">
        <v>1</v>
      </c>
      <c r="F158" s="177"/>
      <c r="G158" s="192"/>
    </row>
    <row r="159" spans="1:7">
      <c r="A159" s="197"/>
      <c r="B159" s="177"/>
      <c r="C159" s="17" t="s">
        <v>615</v>
      </c>
      <c r="D159" s="17" t="s">
        <v>438</v>
      </c>
      <c r="E159" s="18">
        <v>1</v>
      </c>
      <c r="F159" s="177"/>
      <c r="G159" s="192"/>
    </row>
    <row r="160" spans="1:7">
      <c r="A160" s="207" t="s">
        <v>143</v>
      </c>
      <c r="B160" s="210" t="s">
        <v>144</v>
      </c>
      <c r="C160" s="23" t="s">
        <v>423</v>
      </c>
      <c r="D160" s="23" t="s">
        <v>424</v>
      </c>
      <c r="E160" s="23" t="s">
        <v>425</v>
      </c>
      <c r="F160" s="23" t="s">
        <v>426</v>
      </c>
      <c r="G160" s="65" t="s">
        <v>427</v>
      </c>
    </row>
    <row r="161" spans="1:7">
      <c r="A161" s="208"/>
      <c r="B161" s="211"/>
      <c r="C161" s="17" t="s">
        <v>629</v>
      </c>
      <c r="D161" s="17" t="s">
        <v>429</v>
      </c>
      <c r="E161" s="18">
        <v>1</v>
      </c>
      <c r="F161" s="177" t="s">
        <v>630</v>
      </c>
      <c r="G161" s="192">
        <f>'Sprint Backlog - 27-06-25'!$G$39*4</f>
        <v>20</v>
      </c>
    </row>
    <row r="162" spans="1:7">
      <c r="A162" s="208"/>
      <c r="B162" s="211"/>
      <c r="C162" s="17" t="s">
        <v>631</v>
      </c>
      <c r="D162" s="17" t="s">
        <v>432</v>
      </c>
      <c r="E162" s="18">
        <v>7</v>
      </c>
      <c r="F162" s="177"/>
      <c r="G162" s="192"/>
    </row>
    <row r="163" spans="1:7">
      <c r="A163" s="208"/>
      <c r="B163" s="211"/>
      <c r="C163" s="17" t="s">
        <v>632</v>
      </c>
      <c r="D163" s="17" t="s">
        <v>434</v>
      </c>
      <c r="E163" s="18">
        <v>9</v>
      </c>
      <c r="F163" s="177"/>
      <c r="G163" s="192"/>
    </row>
    <row r="164" spans="1:7">
      <c r="A164" s="208"/>
      <c r="B164" s="211"/>
      <c r="C164" s="17" t="s">
        <v>633</v>
      </c>
      <c r="D164" s="17" t="s">
        <v>436</v>
      </c>
      <c r="E164" s="18">
        <v>2</v>
      </c>
      <c r="F164" s="177"/>
      <c r="G164" s="192"/>
    </row>
    <row r="165" spans="1:7">
      <c r="A165" s="209"/>
      <c r="B165" s="212"/>
      <c r="C165" s="17" t="s">
        <v>634</v>
      </c>
      <c r="D165" s="17" t="s">
        <v>438</v>
      </c>
      <c r="E165" s="18">
        <v>1</v>
      </c>
      <c r="F165" s="177"/>
      <c r="G165" s="192"/>
    </row>
    <row r="166" spans="1:7">
      <c r="A166" s="197" t="s">
        <v>147</v>
      </c>
      <c r="B166" s="177" t="s">
        <v>148</v>
      </c>
      <c r="C166" s="23" t="s">
        <v>423</v>
      </c>
      <c r="D166" s="23" t="s">
        <v>424</v>
      </c>
      <c r="E166" s="23" t="s">
        <v>425</v>
      </c>
      <c r="F166" s="23" t="s">
        <v>426</v>
      </c>
      <c r="G166" s="65" t="s">
        <v>427</v>
      </c>
    </row>
    <row r="167" spans="1:7">
      <c r="A167" s="197"/>
      <c r="B167" s="177"/>
      <c r="C167" s="17" t="s">
        <v>635</v>
      </c>
      <c r="D167" s="17" t="s">
        <v>429</v>
      </c>
      <c r="E167" s="18">
        <v>3</v>
      </c>
      <c r="F167" s="177" t="s">
        <v>636</v>
      </c>
      <c r="G167" s="203">
        <f>'Sprint Backlog - 27-06-25'!$G$40*4</f>
        <v>32</v>
      </c>
    </row>
    <row r="168" spans="1:7">
      <c r="A168" s="197"/>
      <c r="B168" s="177"/>
      <c r="C168" s="17" t="s">
        <v>637</v>
      </c>
      <c r="D168" s="17" t="s">
        <v>432</v>
      </c>
      <c r="E168" s="18">
        <v>8</v>
      </c>
      <c r="F168" s="177"/>
      <c r="G168" s="204"/>
    </row>
    <row r="169" spans="1:7">
      <c r="A169" s="197"/>
      <c r="B169" s="177"/>
      <c r="C169" s="53" t="s">
        <v>638</v>
      </c>
      <c r="D169" s="17" t="s">
        <v>434</v>
      </c>
      <c r="E169" s="18">
        <v>19</v>
      </c>
      <c r="F169" s="177"/>
      <c r="G169" s="204"/>
    </row>
    <row r="170" spans="1:7">
      <c r="A170" s="197"/>
      <c r="B170" s="177"/>
      <c r="C170" s="53" t="s">
        <v>639</v>
      </c>
      <c r="D170" s="17" t="s">
        <v>436</v>
      </c>
      <c r="E170" s="18">
        <v>2</v>
      </c>
      <c r="F170" s="177"/>
      <c r="G170" s="204"/>
    </row>
    <row r="171" spans="1:7">
      <c r="A171" s="197"/>
      <c r="B171" s="177"/>
      <c r="C171" s="17" t="s">
        <v>640</v>
      </c>
      <c r="D171" s="17" t="s">
        <v>438</v>
      </c>
      <c r="E171" s="18">
        <v>1</v>
      </c>
      <c r="F171" s="177"/>
      <c r="G171" s="206"/>
    </row>
    <row r="173" spans="1:7">
      <c r="A173" s="194" t="s">
        <v>603</v>
      </c>
      <c r="B173" s="195"/>
      <c r="C173" s="195"/>
      <c r="D173" s="195"/>
      <c r="E173" s="195"/>
      <c r="F173" s="195"/>
      <c r="G173" s="196"/>
    </row>
    <row r="174" spans="1:7">
      <c r="A174" s="64" t="s">
        <v>1</v>
      </c>
      <c r="B174" s="23" t="s">
        <v>422</v>
      </c>
      <c r="C174" s="23" t="s">
        <v>423</v>
      </c>
      <c r="D174" s="23" t="s">
        <v>424</v>
      </c>
      <c r="E174" s="23" t="s">
        <v>425</v>
      </c>
      <c r="F174" s="23" t="s">
        <v>426</v>
      </c>
      <c r="G174" s="65" t="s">
        <v>427</v>
      </c>
    </row>
    <row r="175" spans="1:7">
      <c r="A175" s="197" t="s">
        <v>151</v>
      </c>
      <c r="B175" s="177" t="s">
        <v>152</v>
      </c>
      <c r="C175" s="17" t="s">
        <v>641</v>
      </c>
      <c r="D175" s="17" t="s">
        <v>429</v>
      </c>
      <c r="E175" s="18">
        <v>1</v>
      </c>
      <c r="F175" s="177" t="s">
        <v>642</v>
      </c>
      <c r="G175" s="192">
        <f>'Sprint Backlog - 27-06-25'!$G$44*4</f>
        <v>20</v>
      </c>
    </row>
    <row r="176" spans="1:7">
      <c r="A176" s="197"/>
      <c r="B176" s="177"/>
      <c r="C176" s="17" t="s">
        <v>643</v>
      </c>
      <c r="D176" s="17" t="s">
        <v>432</v>
      </c>
      <c r="E176" s="18">
        <v>7</v>
      </c>
      <c r="F176" s="177"/>
      <c r="G176" s="192"/>
    </row>
    <row r="177" spans="1:7">
      <c r="A177" s="197"/>
      <c r="B177" s="177"/>
      <c r="C177" s="53" t="s">
        <v>644</v>
      </c>
      <c r="D177" s="17" t="s">
        <v>434</v>
      </c>
      <c r="E177" s="18">
        <v>9</v>
      </c>
      <c r="F177" s="177"/>
      <c r="G177" s="192"/>
    </row>
    <row r="178" spans="1:7">
      <c r="A178" s="197"/>
      <c r="B178" s="177"/>
      <c r="C178" s="53" t="s">
        <v>645</v>
      </c>
      <c r="D178" s="17" t="s">
        <v>436</v>
      </c>
      <c r="E178" s="18">
        <v>2</v>
      </c>
      <c r="F178" s="177"/>
      <c r="G178" s="192"/>
    </row>
    <row r="179" spans="1:7">
      <c r="A179" s="197"/>
      <c r="B179" s="177"/>
      <c r="C179" s="17" t="s">
        <v>646</v>
      </c>
      <c r="D179" s="17" t="s">
        <v>438</v>
      </c>
      <c r="E179" s="18">
        <v>1</v>
      </c>
      <c r="F179" s="177"/>
      <c r="G179" s="192"/>
    </row>
    <row r="180" spans="1:7">
      <c r="A180" s="197" t="s">
        <v>133</v>
      </c>
      <c r="B180" s="177" t="s">
        <v>134</v>
      </c>
      <c r="C180" s="23" t="s">
        <v>423</v>
      </c>
      <c r="D180" s="23" t="s">
        <v>424</v>
      </c>
      <c r="E180" s="23" t="s">
        <v>425</v>
      </c>
      <c r="F180" s="23" t="s">
        <v>426</v>
      </c>
      <c r="G180" s="65" t="s">
        <v>427</v>
      </c>
    </row>
    <row r="181" spans="1:7">
      <c r="A181" s="197"/>
      <c r="B181" s="177"/>
      <c r="C181" s="17" t="s">
        <v>616</v>
      </c>
      <c r="D181" s="17" t="s">
        <v>429</v>
      </c>
      <c r="E181" s="18">
        <v>1</v>
      </c>
      <c r="F181" s="177" t="s">
        <v>617</v>
      </c>
      <c r="G181" s="192">
        <f>'Sprint Backlog - 27-06-25'!$G$45*4</f>
        <v>12</v>
      </c>
    </row>
    <row r="182" spans="1:7">
      <c r="A182" s="197"/>
      <c r="B182" s="177"/>
      <c r="C182" s="17" t="s">
        <v>618</v>
      </c>
      <c r="D182" s="17" t="s">
        <v>432</v>
      </c>
      <c r="E182" s="18">
        <v>4</v>
      </c>
      <c r="F182" s="177"/>
      <c r="G182" s="192"/>
    </row>
    <row r="183" spans="1:7">
      <c r="A183" s="197"/>
      <c r="B183" s="177"/>
      <c r="C183" s="17" t="s">
        <v>619</v>
      </c>
      <c r="D183" s="17" t="s">
        <v>434</v>
      </c>
      <c r="E183" s="18">
        <v>5</v>
      </c>
      <c r="F183" s="177"/>
      <c r="G183" s="192"/>
    </row>
    <row r="184" spans="1:7">
      <c r="A184" s="197"/>
      <c r="B184" s="177"/>
      <c r="C184" s="17" t="s">
        <v>620</v>
      </c>
      <c r="D184" s="17" t="s">
        <v>436</v>
      </c>
      <c r="E184" s="18">
        <v>1</v>
      </c>
      <c r="F184" s="177"/>
      <c r="G184" s="192"/>
    </row>
    <row r="185" spans="1:7">
      <c r="A185" s="197"/>
      <c r="B185" s="177"/>
      <c r="C185" s="17" t="s">
        <v>621</v>
      </c>
      <c r="D185" s="17" t="s">
        <v>438</v>
      </c>
      <c r="E185" s="18">
        <v>1</v>
      </c>
      <c r="F185" s="177"/>
      <c r="G185" s="192"/>
    </row>
    <row r="186" spans="1:7">
      <c r="A186" s="197" t="s">
        <v>195</v>
      </c>
      <c r="B186" s="177" t="s">
        <v>196</v>
      </c>
      <c r="C186" s="23" t="s">
        <v>423</v>
      </c>
      <c r="D186" s="23" t="s">
        <v>424</v>
      </c>
      <c r="E186" s="23" t="s">
        <v>425</v>
      </c>
      <c r="F186" s="23" t="s">
        <v>426</v>
      </c>
      <c r="G186" s="65" t="s">
        <v>427</v>
      </c>
    </row>
    <row r="187" spans="1:7">
      <c r="A187" s="197"/>
      <c r="B187" s="177"/>
      <c r="C187" s="17" t="s">
        <v>702</v>
      </c>
      <c r="D187" s="17" t="s">
        <v>429</v>
      </c>
      <c r="E187" s="18">
        <v>1</v>
      </c>
      <c r="F187" s="177" t="s">
        <v>703</v>
      </c>
      <c r="G187" s="192">
        <f>'Sprint Backlog - 27-06-25'!$G$46*4</f>
        <v>8</v>
      </c>
    </row>
    <row r="188" spans="1:7">
      <c r="A188" s="197"/>
      <c r="B188" s="177"/>
      <c r="C188" s="17" t="s">
        <v>704</v>
      </c>
      <c r="D188" s="17" t="s">
        <v>432</v>
      </c>
      <c r="E188" s="18">
        <v>4</v>
      </c>
      <c r="F188" s="177"/>
      <c r="G188" s="192"/>
    </row>
    <row r="189" spans="1:7">
      <c r="A189" s="197"/>
      <c r="B189" s="177"/>
      <c r="C189" s="53" t="s">
        <v>705</v>
      </c>
      <c r="D189" s="17" t="s">
        <v>434</v>
      </c>
      <c r="E189" s="18">
        <v>1</v>
      </c>
      <c r="F189" s="177"/>
      <c r="G189" s="192"/>
    </row>
    <row r="190" spans="1:7">
      <c r="A190" s="197"/>
      <c r="B190" s="177"/>
      <c r="C190" s="53" t="s">
        <v>706</v>
      </c>
      <c r="D190" s="17" t="s">
        <v>436</v>
      </c>
      <c r="E190" s="18">
        <v>1</v>
      </c>
      <c r="F190" s="177"/>
      <c r="G190" s="192"/>
    </row>
    <row r="191" spans="1:7">
      <c r="A191" s="197"/>
      <c r="B191" s="177"/>
      <c r="C191" s="17" t="s">
        <v>707</v>
      </c>
      <c r="D191" s="17" t="s">
        <v>438</v>
      </c>
      <c r="E191" s="18">
        <v>1</v>
      </c>
      <c r="F191" s="177"/>
      <c r="G191" s="192"/>
    </row>
    <row r="192" spans="1:7">
      <c r="A192" s="197" t="s">
        <v>164</v>
      </c>
      <c r="B192" s="199" t="s">
        <v>165</v>
      </c>
      <c r="C192" s="23" t="s">
        <v>423</v>
      </c>
      <c r="D192" s="23" t="s">
        <v>424</v>
      </c>
      <c r="E192" s="23" t="s">
        <v>425</v>
      </c>
      <c r="F192" s="23" t="s">
        <v>426</v>
      </c>
      <c r="G192" s="65" t="s">
        <v>427</v>
      </c>
    </row>
    <row r="193" spans="1:7">
      <c r="A193" s="197"/>
      <c r="B193" s="199"/>
      <c r="C193" s="17" t="s">
        <v>660</v>
      </c>
      <c r="D193" s="17" t="s">
        <v>429</v>
      </c>
      <c r="E193" s="18">
        <v>2</v>
      </c>
      <c r="F193" s="177" t="s">
        <v>661</v>
      </c>
      <c r="G193" s="192">
        <f>'Sprint Backlog - 27-06-25'!$G$47*4</f>
        <v>20</v>
      </c>
    </row>
    <row r="194" spans="1:7">
      <c r="A194" s="197"/>
      <c r="B194" s="199"/>
      <c r="C194" s="17" t="s">
        <v>662</v>
      </c>
      <c r="D194" s="17" t="s">
        <v>432</v>
      </c>
      <c r="E194" s="18">
        <v>7</v>
      </c>
      <c r="F194" s="177"/>
      <c r="G194" s="192"/>
    </row>
    <row r="195" spans="1:7">
      <c r="A195" s="197"/>
      <c r="B195" s="199"/>
      <c r="C195" s="53" t="s">
        <v>663</v>
      </c>
      <c r="D195" s="17" t="s">
        <v>434</v>
      </c>
      <c r="E195" s="18">
        <v>9</v>
      </c>
      <c r="F195" s="177"/>
      <c r="G195" s="192"/>
    </row>
    <row r="196" spans="1:7">
      <c r="A196" s="197"/>
      <c r="B196" s="199"/>
      <c r="C196" s="17" t="s">
        <v>664</v>
      </c>
      <c r="D196" s="17" t="s">
        <v>436</v>
      </c>
      <c r="E196" s="18">
        <v>1</v>
      </c>
      <c r="F196" s="177"/>
      <c r="G196" s="192"/>
    </row>
    <row r="197" spans="1:7">
      <c r="A197" s="197"/>
      <c r="B197" s="199"/>
      <c r="C197" s="17" t="s">
        <v>665</v>
      </c>
      <c r="D197" s="17" t="s">
        <v>438</v>
      </c>
      <c r="E197" s="18">
        <v>1</v>
      </c>
      <c r="F197" s="177"/>
      <c r="G197" s="192"/>
    </row>
    <row r="198" spans="1:7">
      <c r="A198" s="197" t="s">
        <v>172</v>
      </c>
      <c r="B198" s="177" t="s">
        <v>173</v>
      </c>
      <c r="C198" s="23" t="s">
        <v>423</v>
      </c>
      <c r="D198" s="23" t="s">
        <v>424</v>
      </c>
      <c r="E198" s="23" t="s">
        <v>425</v>
      </c>
      <c r="F198" s="23" t="s">
        <v>426</v>
      </c>
      <c r="G198" s="65" t="s">
        <v>427</v>
      </c>
    </row>
    <row r="199" spans="1:7">
      <c r="A199" s="197"/>
      <c r="B199" s="177"/>
      <c r="C199" s="17" t="s">
        <v>672</v>
      </c>
      <c r="D199" s="17" t="s">
        <v>429</v>
      </c>
      <c r="E199" s="18">
        <v>2</v>
      </c>
      <c r="F199" s="177" t="s">
        <v>673</v>
      </c>
      <c r="G199" s="192">
        <f>'Sprint Backlog - 27-06-25'!$G$48*4</f>
        <v>20</v>
      </c>
    </row>
    <row r="200" spans="1:7">
      <c r="A200" s="197"/>
      <c r="B200" s="177"/>
      <c r="C200" s="17" t="s">
        <v>674</v>
      </c>
      <c r="D200" s="17" t="s">
        <v>432</v>
      </c>
      <c r="E200" s="18">
        <v>8</v>
      </c>
      <c r="F200" s="177"/>
      <c r="G200" s="192"/>
    </row>
    <row r="201" spans="1:7">
      <c r="A201" s="197"/>
      <c r="B201" s="177"/>
      <c r="C201" s="17" t="s">
        <v>675</v>
      </c>
      <c r="D201" s="17" t="s">
        <v>434</v>
      </c>
      <c r="E201" s="18">
        <v>8</v>
      </c>
      <c r="F201" s="177"/>
      <c r="G201" s="192"/>
    </row>
    <row r="202" spans="1:7">
      <c r="A202" s="197"/>
      <c r="B202" s="177"/>
      <c r="C202" s="17" t="s">
        <v>676</v>
      </c>
      <c r="D202" s="17" t="s">
        <v>436</v>
      </c>
      <c r="E202" s="18">
        <v>1</v>
      </c>
      <c r="F202" s="177"/>
      <c r="G202" s="192"/>
    </row>
    <row r="203" spans="1:7">
      <c r="A203" s="197"/>
      <c r="B203" s="177"/>
      <c r="C203" s="17" t="s">
        <v>677</v>
      </c>
      <c r="D203" s="17" t="s">
        <v>438</v>
      </c>
      <c r="E203" s="18">
        <v>1</v>
      </c>
      <c r="F203" s="177"/>
      <c r="G203" s="192"/>
    </row>
    <row r="204" spans="1:7">
      <c r="A204" s="197" t="s">
        <v>106</v>
      </c>
      <c r="B204" s="177" t="s">
        <v>107</v>
      </c>
      <c r="C204" s="23" t="s">
        <v>423</v>
      </c>
      <c r="D204" s="23" t="s">
        <v>424</v>
      </c>
      <c r="E204" s="23" t="s">
        <v>425</v>
      </c>
      <c r="F204" s="23" t="s">
        <v>426</v>
      </c>
      <c r="G204" s="65" t="s">
        <v>427</v>
      </c>
    </row>
    <row r="205" spans="1:7">
      <c r="A205" s="197"/>
      <c r="B205" s="177"/>
      <c r="C205" s="17" t="s">
        <v>561</v>
      </c>
      <c r="D205" s="17" t="s">
        <v>429</v>
      </c>
      <c r="E205" s="18">
        <v>1</v>
      </c>
      <c r="F205" s="177" t="s">
        <v>562</v>
      </c>
      <c r="G205" s="203">
        <f>'Sprint Backlog - 27-06-25'!$G$49*4</f>
        <v>8</v>
      </c>
    </row>
    <row r="206" spans="1:7">
      <c r="A206" s="197"/>
      <c r="B206" s="177"/>
      <c r="C206" s="17" t="s">
        <v>563</v>
      </c>
      <c r="D206" s="17" t="s">
        <v>432</v>
      </c>
      <c r="E206" s="18">
        <v>2</v>
      </c>
      <c r="F206" s="177"/>
      <c r="G206" s="204"/>
    </row>
    <row r="207" spans="1:7">
      <c r="A207" s="197"/>
      <c r="B207" s="177"/>
      <c r="C207" s="53" t="s">
        <v>564</v>
      </c>
      <c r="D207" s="17" t="s">
        <v>434</v>
      </c>
      <c r="E207" s="18">
        <v>3</v>
      </c>
      <c r="F207" s="177"/>
      <c r="G207" s="204"/>
    </row>
    <row r="208" spans="1:7">
      <c r="A208" s="197"/>
      <c r="B208" s="177"/>
      <c r="C208" s="53" t="s">
        <v>565</v>
      </c>
      <c r="D208" s="17" t="s">
        <v>436</v>
      </c>
      <c r="E208" s="18">
        <v>1</v>
      </c>
      <c r="F208" s="177"/>
      <c r="G208" s="204"/>
    </row>
    <row r="209" spans="1:7">
      <c r="A209" s="198"/>
      <c r="B209" s="201"/>
      <c r="C209" s="67" t="s">
        <v>566</v>
      </c>
      <c r="D209" s="67" t="s">
        <v>438</v>
      </c>
      <c r="E209" s="66">
        <v>1</v>
      </c>
      <c r="F209" s="201"/>
      <c r="G209" s="206"/>
    </row>
    <row r="211" spans="1:7">
      <c r="A211" s="194" t="s">
        <v>628</v>
      </c>
      <c r="B211" s="195"/>
      <c r="C211" s="195"/>
      <c r="D211" s="195"/>
      <c r="E211" s="195"/>
      <c r="F211" s="195"/>
      <c r="G211" s="196"/>
    </row>
    <row r="212" spans="1:7">
      <c r="A212" s="64" t="s">
        <v>1</v>
      </c>
      <c r="B212" s="23" t="s">
        <v>422</v>
      </c>
      <c r="C212" s="23" t="s">
        <v>423</v>
      </c>
      <c r="D212" s="23" t="s">
        <v>424</v>
      </c>
      <c r="E212" s="23" t="s">
        <v>425</v>
      </c>
      <c r="F212" s="23" t="s">
        <v>426</v>
      </c>
      <c r="G212" s="65" t="s">
        <v>427</v>
      </c>
    </row>
    <row r="213" spans="1:7">
      <c r="A213" s="197" t="s">
        <v>214</v>
      </c>
      <c r="B213" s="177" t="s">
        <v>215</v>
      </c>
      <c r="C213" s="17" t="s">
        <v>726</v>
      </c>
      <c r="D213" s="17" t="s">
        <v>429</v>
      </c>
      <c r="E213" s="18">
        <v>2</v>
      </c>
      <c r="F213" s="177" t="s">
        <v>727</v>
      </c>
      <c r="G213" s="192">
        <f>'Sprint Backlog - 27-06-25'!$G$53*4</f>
        <v>12</v>
      </c>
    </row>
    <row r="214" spans="1:7">
      <c r="A214" s="197"/>
      <c r="B214" s="177"/>
      <c r="C214" s="17" t="s">
        <v>728</v>
      </c>
      <c r="D214" s="17" t="s">
        <v>432</v>
      </c>
      <c r="E214" s="18">
        <v>3</v>
      </c>
      <c r="F214" s="177"/>
      <c r="G214" s="192"/>
    </row>
    <row r="215" spans="1:7">
      <c r="A215" s="197"/>
      <c r="B215" s="177"/>
      <c r="C215" s="17" t="s">
        <v>729</v>
      </c>
      <c r="D215" s="17" t="s">
        <v>434</v>
      </c>
      <c r="E215" s="18">
        <v>5</v>
      </c>
      <c r="F215" s="177"/>
      <c r="G215" s="192"/>
    </row>
    <row r="216" spans="1:7">
      <c r="A216" s="197"/>
      <c r="B216" s="177"/>
      <c r="C216" s="17" t="s">
        <v>730</v>
      </c>
      <c r="D216" s="17" t="s">
        <v>436</v>
      </c>
      <c r="E216" s="18">
        <v>1</v>
      </c>
      <c r="F216" s="177"/>
      <c r="G216" s="192"/>
    </row>
    <row r="217" spans="1:7">
      <c r="A217" s="197"/>
      <c r="B217" s="177"/>
      <c r="C217" s="17" t="s">
        <v>725</v>
      </c>
      <c r="D217" s="17" t="s">
        <v>438</v>
      </c>
      <c r="E217" s="18">
        <v>1</v>
      </c>
      <c r="F217" s="177"/>
      <c r="G217" s="192"/>
    </row>
    <row r="218" spans="1:7">
      <c r="A218" s="197" t="s">
        <v>218</v>
      </c>
      <c r="B218" s="177" t="s">
        <v>219</v>
      </c>
      <c r="C218" s="23" t="s">
        <v>423</v>
      </c>
      <c r="D218" s="23" t="s">
        <v>424</v>
      </c>
      <c r="E218" s="23" t="s">
        <v>425</v>
      </c>
      <c r="F218" s="23" t="s">
        <v>426</v>
      </c>
      <c r="G218" s="65" t="s">
        <v>427</v>
      </c>
    </row>
    <row r="219" spans="1:7">
      <c r="A219" s="197"/>
      <c r="B219" s="177"/>
      <c r="C219" s="17" t="s">
        <v>731</v>
      </c>
      <c r="D219" s="17" t="s">
        <v>429</v>
      </c>
      <c r="E219" s="18">
        <v>1</v>
      </c>
      <c r="F219" s="177" t="s">
        <v>732</v>
      </c>
      <c r="G219" s="192">
        <f>'Sprint Backlog - 27-06-25'!$G$54*4</f>
        <v>12</v>
      </c>
    </row>
    <row r="220" spans="1:7">
      <c r="A220" s="197"/>
      <c r="B220" s="177"/>
      <c r="C220" s="17" t="s">
        <v>733</v>
      </c>
      <c r="D220" s="17" t="s">
        <v>432</v>
      </c>
      <c r="E220" s="18">
        <v>4</v>
      </c>
      <c r="F220" s="177"/>
      <c r="G220" s="192"/>
    </row>
    <row r="221" spans="1:7">
      <c r="A221" s="197"/>
      <c r="B221" s="177"/>
      <c r="C221" s="17" t="s">
        <v>734</v>
      </c>
      <c r="D221" s="17" t="s">
        <v>434</v>
      </c>
      <c r="E221" s="18">
        <v>5</v>
      </c>
      <c r="F221" s="177"/>
      <c r="G221" s="192"/>
    </row>
    <row r="222" spans="1:7">
      <c r="A222" s="197"/>
      <c r="B222" s="177"/>
      <c r="C222" s="17" t="s">
        <v>735</v>
      </c>
      <c r="D222" s="17" t="s">
        <v>436</v>
      </c>
      <c r="E222" s="18">
        <v>1</v>
      </c>
      <c r="F222" s="177"/>
      <c r="G222" s="192"/>
    </row>
    <row r="223" spans="1:7">
      <c r="A223" s="197"/>
      <c r="B223" s="177"/>
      <c r="C223" s="17" t="s">
        <v>725</v>
      </c>
      <c r="D223" s="17" t="s">
        <v>438</v>
      </c>
      <c r="E223" s="18">
        <v>1</v>
      </c>
      <c r="F223" s="177"/>
      <c r="G223" s="192"/>
    </row>
    <row r="224" spans="1:7">
      <c r="A224" s="197" t="s">
        <v>222</v>
      </c>
      <c r="B224" s="177" t="s">
        <v>223</v>
      </c>
      <c r="C224" s="23" t="s">
        <v>423</v>
      </c>
      <c r="D224" s="23" t="s">
        <v>424</v>
      </c>
      <c r="E224" s="23" t="s">
        <v>425</v>
      </c>
      <c r="F224" s="23" t="s">
        <v>426</v>
      </c>
      <c r="G224" s="65" t="s">
        <v>427</v>
      </c>
    </row>
    <row r="225" spans="1:7">
      <c r="A225" s="197"/>
      <c r="B225" s="177"/>
      <c r="C225" s="17" t="s">
        <v>736</v>
      </c>
      <c r="D225" s="17" t="s">
        <v>429</v>
      </c>
      <c r="E225" s="18">
        <v>1</v>
      </c>
      <c r="F225" s="177" t="s">
        <v>737</v>
      </c>
      <c r="G225" s="192">
        <f>'Sprint Backlog - 27-06-25'!$G$55*4</f>
        <v>8</v>
      </c>
    </row>
    <row r="226" spans="1:7">
      <c r="A226" s="197"/>
      <c r="B226" s="177"/>
      <c r="C226" s="17" t="s">
        <v>738</v>
      </c>
      <c r="D226" s="17" t="s">
        <v>432</v>
      </c>
      <c r="E226" s="18">
        <v>1</v>
      </c>
      <c r="F226" s="177"/>
      <c r="G226" s="192"/>
    </row>
    <row r="227" spans="1:7">
      <c r="A227" s="197"/>
      <c r="B227" s="177"/>
      <c r="C227" s="17" t="s">
        <v>739</v>
      </c>
      <c r="D227" s="17" t="s">
        <v>434</v>
      </c>
      <c r="E227" s="18">
        <v>3</v>
      </c>
      <c r="F227" s="177"/>
      <c r="G227" s="192"/>
    </row>
    <row r="228" spans="1:7">
      <c r="A228" s="197"/>
      <c r="B228" s="177"/>
      <c r="C228" s="17" t="s">
        <v>740</v>
      </c>
      <c r="D228" s="17" t="s">
        <v>436</v>
      </c>
      <c r="E228" s="18">
        <v>1</v>
      </c>
      <c r="F228" s="177"/>
      <c r="G228" s="192"/>
    </row>
    <row r="229" spans="1:7">
      <c r="A229" s="197"/>
      <c r="B229" s="177"/>
      <c r="C229" s="17" t="s">
        <v>741</v>
      </c>
      <c r="D229" s="17" t="s">
        <v>438</v>
      </c>
      <c r="E229" s="18">
        <v>1</v>
      </c>
      <c r="F229" s="177"/>
      <c r="G229" s="192"/>
    </row>
    <row r="230" spans="1:7">
      <c r="A230" s="197" t="s">
        <v>49</v>
      </c>
      <c r="B230" s="177" t="s">
        <v>50</v>
      </c>
      <c r="C230" s="23" t="s">
        <v>423</v>
      </c>
      <c r="D230" s="23" t="s">
        <v>424</v>
      </c>
      <c r="E230" s="23" t="s">
        <v>425</v>
      </c>
      <c r="F230" s="23" t="s">
        <v>426</v>
      </c>
      <c r="G230" s="65" t="s">
        <v>427</v>
      </c>
    </row>
    <row r="231" spans="1:7">
      <c r="A231" s="197"/>
      <c r="B231" s="177"/>
      <c r="C231" s="17" t="s">
        <v>487</v>
      </c>
      <c r="D231" s="17" t="s">
        <v>429</v>
      </c>
      <c r="E231" s="18">
        <v>4</v>
      </c>
      <c r="F231" s="177" t="s">
        <v>488</v>
      </c>
      <c r="G231" s="192">
        <f>'Sprint Backlog - 27-06-25'!$G$56*4</f>
        <v>32</v>
      </c>
    </row>
    <row r="232" spans="1:7">
      <c r="A232" s="197"/>
      <c r="B232" s="177"/>
      <c r="C232" s="17" t="s">
        <v>489</v>
      </c>
      <c r="D232" s="17" t="s">
        <v>432</v>
      </c>
      <c r="E232" s="18">
        <v>10</v>
      </c>
      <c r="F232" s="177"/>
      <c r="G232" s="192"/>
    </row>
    <row r="233" spans="1:7">
      <c r="A233" s="197"/>
      <c r="B233" s="177"/>
      <c r="C233" s="17" t="s">
        <v>490</v>
      </c>
      <c r="D233" s="17" t="s">
        <v>434</v>
      </c>
      <c r="E233" s="18">
        <v>15</v>
      </c>
      <c r="F233" s="177"/>
      <c r="G233" s="192"/>
    </row>
    <row r="234" spans="1:7">
      <c r="A234" s="197"/>
      <c r="B234" s="177"/>
      <c r="C234" s="17" t="s">
        <v>491</v>
      </c>
      <c r="D234" s="17" t="s">
        <v>436</v>
      </c>
      <c r="E234" s="18">
        <v>2</v>
      </c>
      <c r="F234" s="177"/>
      <c r="G234" s="192"/>
    </row>
    <row r="235" spans="1:7">
      <c r="A235" s="197"/>
      <c r="B235" s="177"/>
      <c r="C235" s="17" t="s">
        <v>492</v>
      </c>
      <c r="D235" s="17" t="s">
        <v>438</v>
      </c>
      <c r="E235" s="18">
        <v>1</v>
      </c>
      <c r="F235" s="177"/>
      <c r="G235" s="192"/>
    </row>
    <row r="236" spans="1:7">
      <c r="A236" s="197" t="s">
        <v>231</v>
      </c>
      <c r="B236" s="177" t="s">
        <v>232</v>
      </c>
      <c r="C236" s="23" t="s">
        <v>423</v>
      </c>
      <c r="D236" s="23" t="s">
        <v>424</v>
      </c>
      <c r="E236" s="23" t="s">
        <v>425</v>
      </c>
      <c r="F236" s="23" t="s">
        <v>426</v>
      </c>
      <c r="G236" s="65" t="s">
        <v>427</v>
      </c>
    </row>
    <row r="237" spans="1:7">
      <c r="A237" s="197"/>
      <c r="B237" s="177"/>
      <c r="C237" s="17" t="s">
        <v>747</v>
      </c>
      <c r="D237" s="17" t="s">
        <v>429</v>
      </c>
      <c r="E237" s="18">
        <v>6</v>
      </c>
      <c r="F237" s="177" t="s">
        <v>748</v>
      </c>
      <c r="G237" s="203">
        <f>'Sprint Backlog - 27-06-25'!$G$57*4</f>
        <v>20</v>
      </c>
    </row>
    <row r="238" spans="1:7">
      <c r="A238" s="197"/>
      <c r="B238" s="177"/>
      <c r="C238" s="17" t="s">
        <v>749</v>
      </c>
      <c r="D238" s="17" t="s">
        <v>432</v>
      </c>
      <c r="E238" s="18">
        <v>5</v>
      </c>
      <c r="F238" s="177"/>
      <c r="G238" s="204"/>
    </row>
    <row r="239" spans="1:7">
      <c r="A239" s="197"/>
      <c r="B239" s="177"/>
      <c r="C239" s="53" t="s">
        <v>750</v>
      </c>
      <c r="D239" s="17" t="s">
        <v>434</v>
      </c>
      <c r="E239" s="18">
        <v>6</v>
      </c>
      <c r="F239" s="177"/>
      <c r="G239" s="204"/>
    </row>
    <row r="240" spans="1:7">
      <c r="A240" s="197"/>
      <c r="B240" s="177"/>
      <c r="C240" s="53" t="s">
        <v>751</v>
      </c>
      <c r="D240" s="17" t="s">
        <v>436</v>
      </c>
      <c r="E240" s="18">
        <v>1</v>
      </c>
      <c r="F240" s="177"/>
      <c r="G240" s="204"/>
    </row>
    <row r="241" spans="1:7">
      <c r="A241" s="197"/>
      <c r="B241" s="177"/>
      <c r="C241" s="17" t="s">
        <v>499</v>
      </c>
      <c r="D241" s="17" t="s">
        <v>438</v>
      </c>
      <c r="E241" s="18">
        <v>2</v>
      </c>
      <c r="F241" s="177"/>
      <c r="G241" s="205"/>
    </row>
    <row r="242" spans="1:7">
      <c r="A242" s="197" t="s">
        <v>239</v>
      </c>
      <c r="B242" s="177" t="s">
        <v>240</v>
      </c>
      <c r="C242" s="23" t="s">
        <v>423</v>
      </c>
      <c r="D242" s="23" t="s">
        <v>424</v>
      </c>
      <c r="E242" s="23" t="s">
        <v>425</v>
      </c>
      <c r="F242" s="23" t="s">
        <v>426</v>
      </c>
      <c r="G242" s="65" t="s">
        <v>427</v>
      </c>
    </row>
    <row r="243" spans="1:7">
      <c r="A243" s="197"/>
      <c r="B243" s="177"/>
      <c r="C243" s="17" t="s">
        <v>757</v>
      </c>
      <c r="D243" s="17" t="s">
        <v>429</v>
      </c>
      <c r="E243" s="18">
        <v>2</v>
      </c>
      <c r="F243" s="177" t="s">
        <v>758</v>
      </c>
      <c r="G243" s="203">
        <f>'Sprint Backlog - 27-06-25'!$G$58*4</f>
        <v>12</v>
      </c>
    </row>
    <row r="244" spans="1:7" ht="27.75">
      <c r="A244" s="197"/>
      <c r="B244" s="177"/>
      <c r="C244" s="17" t="s">
        <v>759</v>
      </c>
      <c r="D244" s="17" t="s">
        <v>432</v>
      </c>
      <c r="E244" s="18">
        <v>4</v>
      </c>
      <c r="F244" s="177"/>
      <c r="G244" s="204"/>
    </row>
    <row r="245" spans="1:7">
      <c r="A245" s="197"/>
      <c r="B245" s="177"/>
      <c r="C245" s="17" t="s">
        <v>760</v>
      </c>
      <c r="D245" s="17" t="s">
        <v>434</v>
      </c>
      <c r="E245" s="18">
        <v>3</v>
      </c>
      <c r="F245" s="177"/>
      <c r="G245" s="204"/>
    </row>
    <row r="246" spans="1:7">
      <c r="A246" s="197"/>
      <c r="B246" s="177"/>
      <c r="C246" s="17" t="s">
        <v>560</v>
      </c>
      <c r="D246" s="17" t="s">
        <v>436</v>
      </c>
      <c r="E246" s="18">
        <v>1</v>
      </c>
      <c r="F246" s="177"/>
      <c r="G246" s="204"/>
    </row>
    <row r="247" spans="1:7">
      <c r="A247" s="198"/>
      <c r="B247" s="201"/>
      <c r="C247" s="67" t="s">
        <v>499</v>
      </c>
      <c r="D247" s="67" t="s">
        <v>438</v>
      </c>
      <c r="E247" s="66">
        <v>2</v>
      </c>
      <c r="F247" s="201"/>
      <c r="G247" s="206"/>
    </row>
    <row r="249" spans="1:7">
      <c r="A249" s="194" t="s">
        <v>653</v>
      </c>
      <c r="B249" s="195"/>
      <c r="C249" s="195"/>
      <c r="D249" s="195"/>
      <c r="E249" s="195"/>
      <c r="F249" s="195"/>
      <c r="G249" s="196"/>
    </row>
    <row r="250" spans="1:7">
      <c r="A250" s="64" t="s">
        <v>1</v>
      </c>
      <c r="B250" s="23" t="s">
        <v>422</v>
      </c>
      <c r="C250" s="23" t="s">
        <v>423</v>
      </c>
      <c r="D250" s="23" t="s">
        <v>424</v>
      </c>
      <c r="E250" s="23" t="s">
        <v>425</v>
      </c>
      <c r="F250" s="23" t="s">
        <v>426</v>
      </c>
      <c r="G250" s="65" t="s">
        <v>427</v>
      </c>
    </row>
    <row r="251" spans="1:7">
      <c r="A251" s="197" t="s">
        <v>244</v>
      </c>
      <c r="B251" s="199" t="s">
        <v>245</v>
      </c>
      <c r="C251" s="17"/>
      <c r="D251" s="17" t="s">
        <v>429</v>
      </c>
      <c r="E251" s="18"/>
      <c r="F251" s="177" t="s">
        <v>761</v>
      </c>
      <c r="G251" s="203">
        <f>'Sprint Backlog - 27-06-25'!$G$62*4</f>
        <v>8</v>
      </c>
    </row>
    <row r="252" spans="1:7">
      <c r="A252" s="197"/>
      <c r="B252" s="199"/>
      <c r="C252" s="17" t="s">
        <v>762</v>
      </c>
      <c r="D252" s="17" t="s">
        <v>432</v>
      </c>
      <c r="E252" s="18">
        <v>2</v>
      </c>
      <c r="F252" s="177"/>
      <c r="G252" s="204"/>
    </row>
    <row r="253" spans="1:7">
      <c r="A253" s="197"/>
      <c r="B253" s="199"/>
      <c r="C253" s="17" t="s">
        <v>763</v>
      </c>
      <c r="D253" s="17" t="s">
        <v>434</v>
      </c>
      <c r="E253" s="18">
        <v>4</v>
      </c>
      <c r="F253" s="177"/>
      <c r="G253" s="204"/>
    </row>
    <row r="254" spans="1:7">
      <c r="A254" s="197"/>
      <c r="B254" s="199"/>
      <c r="C254" s="17" t="s">
        <v>764</v>
      </c>
      <c r="D254" s="17" t="s">
        <v>436</v>
      </c>
      <c r="E254" s="18">
        <v>1</v>
      </c>
      <c r="F254" s="177"/>
      <c r="G254" s="204"/>
    </row>
    <row r="255" spans="1:7">
      <c r="A255" s="197"/>
      <c r="B255" s="199"/>
      <c r="C255" s="17" t="s">
        <v>499</v>
      </c>
      <c r="D255" s="17" t="s">
        <v>438</v>
      </c>
      <c r="E255" s="18">
        <v>1</v>
      </c>
      <c r="F255" s="177"/>
      <c r="G255" s="205"/>
    </row>
    <row r="256" spans="1:7">
      <c r="A256" s="197" t="s">
        <v>257</v>
      </c>
      <c r="B256" s="177" t="s">
        <v>258</v>
      </c>
      <c r="C256" s="23" t="s">
        <v>423</v>
      </c>
      <c r="D256" s="23" t="s">
        <v>424</v>
      </c>
      <c r="E256" s="23" t="s">
        <v>425</v>
      </c>
      <c r="F256" s="23" t="s">
        <v>426</v>
      </c>
      <c r="G256" s="65" t="s">
        <v>427</v>
      </c>
    </row>
    <row r="257" spans="1:7">
      <c r="A257" s="197"/>
      <c r="B257" s="177"/>
      <c r="C257" s="17"/>
      <c r="D257" s="17" t="s">
        <v>429</v>
      </c>
      <c r="E257" s="18"/>
      <c r="F257" s="177" t="s">
        <v>596</v>
      </c>
      <c r="G257" s="203">
        <f>'Sprint Backlog - 27-06-25'!$G$63*4</f>
        <v>8</v>
      </c>
    </row>
    <row r="258" spans="1:7">
      <c r="A258" s="197"/>
      <c r="B258" s="177"/>
      <c r="C258" s="17" t="s">
        <v>597</v>
      </c>
      <c r="D258" s="17" t="s">
        <v>432</v>
      </c>
      <c r="E258" s="18">
        <v>3</v>
      </c>
      <c r="F258" s="177"/>
      <c r="G258" s="204"/>
    </row>
    <row r="259" spans="1:7">
      <c r="A259" s="197"/>
      <c r="B259" s="177"/>
      <c r="C259" s="53" t="s">
        <v>598</v>
      </c>
      <c r="D259" s="17" t="s">
        <v>434</v>
      </c>
      <c r="E259" s="18">
        <v>3</v>
      </c>
      <c r="F259" s="177"/>
      <c r="G259" s="204"/>
    </row>
    <row r="260" spans="1:7">
      <c r="A260" s="197"/>
      <c r="B260" s="177"/>
      <c r="C260" s="17" t="s">
        <v>498</v>
      </c>
      <c r="D260" s="17" t="s">
        <v>436</v>
      </c>
      <c r="E260" s="18">
        <v>1</v>
      </c>
      <c r="F260" s="177"/>
      <c r="G260" s="204"/>
    </row>
    <row r="261" spans="1:7">
      <c r="A261" s="197"/>
      <c r="B261" s="177"/>
      <c r="C261" s="17" t="s">
        <v>499</v>
      </c>
      <c r="D261" s="17" t="s">
        <v>438</v>
      </c>
      <c r="E261" s="18">
        <v>1</v>
      </c>
      <c r="F261" s="177"/>
      <c r="G261" s="205"/>
    </row>
    <row r="262" spans="1:7">
      <c r="A262" s="197" t="s">
        <v>53</v>
      </c>
      <c r="B262" s="177" t="s">
        <v>54</v>
      </c>
      <c r="C262" s="23" t="s">
        <v>423</v>
      </c>
      <c r="D262" s="23" t="s">
        <v>424</v>
      </c>
      <c r="E262" s="23" t="s">
        <v>425</v>
      </c>
      <c r="F262" s="23" t="s">
        <v>426</v>
      </c>
      <c r="G262" s="65" t="s">
        <v>427</v>
      </c>
    </row>
    <row r="263" spans="1:7">
      <c r="A263" s="197"/>
      <c r="B263" s="177"/>
      <c r="C263" s="17" t="s">
        <v>494</v>
      </c>
      <c r="D263" s="17" t="s">
        <v>429</v>
      </c>
      <c r="E263" s="18">
        <v>1</v>
      </c>
      <c r="F263" s="177" t="s">
        <v>495</v>
      </c>
      <c r="G263" s="203">
        <f>'Sprint Backlog - 27-06-25'!$G$64*4</f>
        <v>8</v>
      </c>
    </row>
    <row r="264" spans="1:7">
      <c r="A264" s="197"/>
      <c r="B264" s="177"/>
      <c r="C264" s="17" t="s">
        <v>496</v>
      </c>
      <c r="D264" s="17" t="s">
        <v>432</v>
      </c>
      <c r="E264" s="18">
        <v>3</v>
      </c>
      <c r="F264" s="177"/>
      <c r="G264" s="204"/>
    </row>
    <row r="265" spans="1:7">
      <c r="A265" s="197"/>
      <c r="B265" s="177"/>
      <c r="C265" s="17" t="s">
        <v>497</v>
      </c>
      <c r="D265" s="17" t="s">
        <v>434</v>
      </c>
      <c r="E265" s="18">
        <v>2</v>
      </c>
      <c r="F265" s="177"/>
      <c r="G265" s="204"/>
    </row>
    <row r="266" spans="1:7">
      <c r="A266" s="197"/>
      <c r="B266" s="177"/>
      <c r="C266" s="17" t="s">
        <v>498</v>
      </c>
      <c r="D266" s="17" t="s">
        <v>436</v>
      </c>
      <c r="E266" s="18">
        <v>1</v>
      </c>
      <c r="F266" s="177"/>
      <c r="G266" s="204"/>
    </row>
    <row r="267" spans="1:7">
      <c r="A267" s="197"/>
      <c r="B267" s="177"/>
      <c r="C267" s="17" t="s">
        <v>499</v>
      </c>
      <c r="D267" s="17" t="s">
        <v>438</v>
      </c>
      <c r="E267" s="18">
        <v>1</v>
      </c>
      <c r="F267" s="177"/>
      <c r="G267" s="205"/>
    </row>
    <row r="268" spans="1:7">
      <c r="A268" s="197" t="s">
        <v>57</v>
      </c>
      <c r="B268" s="199" t="s">
        <v>58</v>
      </c>
      <c r="C268" s="23" t="s">
        <v>423</v>
      </c>
      <c r="D268" s="23" t="s">
        <v>424</v>
      </c>
      <c r="E268" s="23" t="s">
        <v>425</v>
      </c>
      <c r="F268" s="23" t="s">
        <v>426</v>
      </c>
      <c r="G268" s="65" t="s">
        <v>427</v>
      </c>
    </row>
    <row r="269" spans="1:7">
      <c r="A269" s="197"/>
      <c r="B269" s="199"/>
      <c r="C269" s="17" t="s">
        <v>471</v>
      </c>
      <c r="D269" s="17" t="s">
        <v>429</v>
      </c>
      <c r="E269" s="18">
        <v>3</v>
      </c>
      <c r="F269" s="177" t="s">
        <v>500</v>
      </c>
      <c r="G269" s="203">
        <f>'Sprint Backlog - 27-06-25'!$G$65*4</f>
        <v>32</v>
      </c>
    </row>
    <row r="270" spans="1:7">
      <c r="A270" s="197"/>
      <c r="B270" s="199"/>
      <c r="C270" s="17" t="s">
        <v>501</v>
      </c>
      <c r="D270" s="17" t="s">
        <v>432</v>
      </c>
      <c r="E270" s="18">
        <v>11</v>
      </c>
      <c r="F270" s="177"/>
      <c r="G270" s="204"/>
    </row>
    <row r="271" spans="1:7">
      <c r="A271" s="197"/>
      <c r="B271" s="199"/>
      <c r="C271" s="17"/>
      <c r="D271" s="17" t="s">
        <v>434</v>
      </c>
      <c r="E271" s="18"/>
      <c r="F271" s="177"/>
      <c r="G271" s="204"/>
    </row>
    <row r="272" spans="1:7">
      <c r="A272" s="197"/>
      <c r="B272" s="199"/>
      <c r="C272" s="17" t="s">
        <v>502</v>
      </c>
      <c r="D272" s="17" t="s">
        <v>436</v>
      </c>
      <c r="E272" s="18">
        <v>2</v>
      </c>
      <c r="F272" s="177"/>
      <c r="G272" s="204"/>
    </row>
    <row r="273" spans="1:7">
      <c r="A273" s="197"/>
      <c r="B273" s="199"/>
      <c r="C273" s="17" t="s">
        <v>476</v>
      </c>
      <c r="D273" s="17" t="s">
        <v>438</v>
      </c>
      <c r="E273" s="18">
        <v>1</v>
      </c>
      <c r="F273" s="177"/>
      <c r="G273" s="205"/>
    </row>
    <row r="274" spans="1:7">
      <c r="A274" s="197" t="s">
        <v>70</v>
      </c>
      <c r="B274" s="177" t="s">
        <v>71</v>
      </c>
      <c r="C274" s="23" t="s">
        <v>423</v>
      </c>
      <c r="D274" s="23" t="s">
        <v>424</v>
      </c>
      <c r="E274" s="23" t="s">
        <v>425</v>
      </c>
      <c r="F274" s="23" t="s">
        <v>426</v>
      </c>
      <c r="G274" s="65" t="s">
        <v>427</v>
      </c>
    </row>
    <row r="275" spans="1:7">
      <c r="A275" s="197"/>
      <c r="B275" s="177"/>
      <c r="C275" s="17" t="s">
        <v>513</v>
      </c>
      <c r="D275" s="17" t="s">
        <v>429</v>
      </c>
      <c r="E275" s="18">
        <v>2</v>
      </c>
      <c r="F275" s="177" t="s">
        <v>514</v>
      </c>
      <c r="G275" s="203">
        <f>'Sprint Backlog - 27-06-25'!$G$66*4</f>
        <v>12</v>
      </c>
    </row>
    <row r="276" spans="1:7">
      <c r="A276" s="197"/>
      <c r="B276" s="177"/>
      <c r="C276" s="17" t="s">
        <v>515</v>
      </c>
      <c r="D276" s="17" t="s">
        <v>432</v>
      </c>
      <c r="E276" s="18">
        <v>6</v>
      </c>
      <c r="F276" s="177"/>
      <c r="G276" s="204"/>
    </row>
    <row r="277" spans="1:7">
      <c r="A277" s="197"/>
      <c r="B277" s="177"/>
      <c r="C277" s="53" t="s">
        <v>516</v>
      </c>
      <c r="D277" s="17" t="s">
        <v>434</v>
      </c>
      <c r="E277" s="18">
        <v>1</v>
      </c>
      <c r="F277" s="177"/>
      <c r="G277" s="204"/>
    </row>
    <row r="278" spans="1:7">
      <c r="A278" s="197"/>
      <c r="B278" s="177"/>
      <c r="C278" s="17" t="s">
        <v>517</v>
      </c>
      <c r="D278" s="17" t="s">
        <v>436</v>
      </c>
      <c r="E278" s="18">
        <v>2</v>
      </c>
      <c r="F278" s="177"/>
      <c r="G278" s="204"/>
    </row>
    <row r="279" spans="1:7">
      <c r="A279" s="197"/>
      <c r="B279" s="177"/>
      <c r="C279" s="17" t="s">
        <v>518</v>
      </c>
      <c r="D279" s="17" t="s">
        <v>438</v>
      </c>
      <c r="E279" s="18">
        <v>1</v>
      </c>
      <c r="F279" s="177"/>
      <c r="G279" s="205"/>
    </row>
    <row r="280" spans="1:7">
      <c r="A280" s="197" t="s">
        <v>92</v>
      </c>
      <c r="B280" s="177" t="s">
        <v>93</v>
      </c>
      <c r="C280" s="23" t="s">
        <v>423</v>
      </c>
      <c r="D280" s="23" t="s">
        <v>424</v>
      </c>
      <c r="E280" s="23" t="s">
        <v>425</v>
      </c>
      <c r="F280" s="23" t="s">
        <v>426</v>
      </c>
      <c r="G280" s="65" t="s">
        <v>427</v>
      </c>
    </row>
    <row r="281" spans="1:7">
      <c r="A281" s="197"/>
      <c r="B281" s="177"/>
      <c r="C281" s="17" t="s">
        <v>550</v>
      </c>
      <c r="D281" s="17" t="s">
        <v>429</v>
      </c>
      <c r="E281" s="18">
        <v>2</v>
      </c>
      <c r="F281" s="177" t="s">
        <v>551</v>
      </c>
      <c r="G281" s="203">
        <f>'Sprint Backlog - 27-06-25'!$G$67*4</f>
        <v>20</v>
      </c>
    </row>
    <row r="282" spans="1:7">
      <c r="A282" s="197"/>
      <c r="B282" s="177"/>
      <c r="C282" s="17" t="s">
        <v>552</v>
      </c>
      <c r="D282" s="17" t="s">
        <v>432</v>
      </c>
      <c r="E282" s="18">
        <v>7</v>
      </c>
      <c r="F282" s="177"/>
      <c r="G282" s="204"/>
    </row>
    <row r="283" spans="1:7">
      <c r="A283" s="197"/>
      <c r="B283" s="177"/>
      <c r="C283" s="17" t="s">
        <v>553</v>
      </c>
      <c r="D283" s="17" t="s">
        <v>434</v>
      </c>
      <c r="E283" s="18">
        <v>8</v>
      </c>
      <c r="F283" s="177"/>
      <c r="G283" s="204"/>
    </row>
    <row r="284" spans="1:7">
      <c r="A284" s="197"/>
      <c r="B284" s="177"/>
      <c r="C284" s="17" t="s">
        <v>554</v>
      </c>
      <c r="D284" s="17" t="s">
        <v>436</v>
      </c>
      <c r="E284" s="18">
        <v>2</v>
      </c>
      <c r="F284" s="177"/>
      <c r="G284" s="204"/>
    </row>
    <row r="285" spans="1:7">
      <c r="A285" s="198"/>
      <c r="B285" s="201"/>
      <c r="C285" s="67" t="s">
        <v>555</v>
      </c>
      <c r="D285" s="67" t="s">
        <v>438</v>
      </c>
      <c r="E285" s="66">
        <v>1</v>
      </c>
      <c r="F285" s="201"/>
      <c r="G285" s="206"/>
    </row>
    <row r="287" spans="1:7">
      <c r="A287" s="194" t="s">
        <v>678</v>
      </c>
      <c r="B287" s="195"/>
      <c r="C287" s="195"/>
      <c r="D287" s="195"/>
      <c r="E287" s="195"/>
      <c r="F287" s="195"/>
      <c r="G287" s="196"/>
    </row>
    <row r="288" spans="1:7">
      <c r="A288" s="64" t="s">
        <v>1</v>
      </c>
      <c r="B288" s="23" t="s">
        <v>422</v>
      </c>
      <c r="C288" s="23" t="s">
        <v>423</v>
      </c>
      <c r="D288" s="23" t="s">
        <v>424</v>
      </c>
      <c r="E288" s="23" t="s">
        <v>425</v>
      </c>
      <c r="F288" s="23" t="s">
        <v>426</v>
      </c>
      <c r="G288" s="65" t="s">
        <v>427</v>
      </c>
    </row>
    <row r="289" spans="1:7">
      <c r="A289" s="197" t="s">
        <v>111</v>
      </c>
      <c r="B289" s="177" t="s">
        <v>112</v>
      </c>
      <c r="C289" s="17" t="s">
        <v>567</v>
      </c>
      <c r="D289" s="17" t="s">
        <v>429</v>
      </c>
      <c r="E289" s="18">
        <v>3</v>
      </c>
      <c r="F289" s="177" t="s">
        <v>568</v>
      </c>
      <c r="G289" s="203">
        <f>'Sprint Backlog - 27-06-25'!$G$71*4</f>
        <v>20</v>
      </c>
    </row>
    <row r="290" spans="1:7">
      <c r="A290" s="197"/>
      <c r="B290" s="177"/>
      <c r="C290" s="17" t="s">
        <v>569</v>
      </c>
      <c r="D290" s="17" t="s">
        <v>432</v>
      </c>
      <c r="E290" s="18">
        <v>9</v>
      </c>
      <c r="F290" s="177"/>
      <c r="G290" s="204"/>
    </row>
    <row r="291" spans="1:7" ht="27.75">
      <c r="A291" s="197"/>
      <c r="B291" s="177"/>
      <c r="C291" s="17" t="s">
        <v>570</v>
      </c>
      <c r="D291" s="17" t="s">
        <v>434</v>
      </c>
      <c r="E291" s="18">
        <v>5</v>
      </c>
      <c r="F291" s="177"/>
      <c r="G291" s="204"/>
    </row>
    <row r="292" spans="1:7">
      <c r="A292" s="197"/>
      <c r="B292" s="177"/>
      <c r="C292" s="17" t="s">
        <v>571</v>
      </c>
      <c r="D292" s="17" t="s">
        <v>436</v>
      </c>
      <c r="E292" s="18">
        <v>2</v>
      </c>
      <c r="F292" s="177"/>
      <c r="G292" s="204"/>
    </row>
    <row r="293" spans="1:7">
      <c r="A293" s="197"/>
      <c r="B293" s="177"/>
      <c r="C293" s="17" t="s">
        <v>572</v>
      </c>
      <c r="D293" s="17" t="s">
        <v>438</v>
      </c>
      <c r="E293" s="18">
        <v>1</v>
      </c>
      <c r="F293" s="177"/>
      <c r="G293" s="205"/>
    </row>
    <row r="294" spans="1:7">
      <c r="A294" s="197" t="s">
        <v>97</v>
      </c>
      <c r="B294" s="177" t="s">
        <v>98</v>
      </c>
      <c r="C294" s="23" t="s">
        <v>423</v>
      </c>
      <c r="D294" s="23" t="s">
        <v>424</v>
      </c>
      <c r="E294" s="23" t="s">
        <v>425</v>
      </c>
      <c r="F294" s="23" t="s">
        <v>426</v>
      </c>
      <c r="G294" s="65" t="s">
        <v>427</v>
      </c>
    </row>
    <row r="295" spans="1:7">
      <c r="A295" s="197"/>
      <c r="B295" s="177"/>
      <c r="C295" s="17" t="s">
        <v>544</v>
      </c>
      <c r="D295" s="17" t="s">
        <v>429</v>
      </c>
      <c r="E295" s="18">
        <v>3</v>
      </c>
      <c r="F295" s="177" t="s">
        <v>545</v>
      </c>
      <c r="G295" s="203">
        <f>'Sprint Backlog - 27-06-25'!$G$72*4</f>
        <v>20</v>
      </c>
    </row>
    <row r="296" spans="1:7">
      <c r="A296" s="197"/>
      <c r="B296" s="177"/>
      <c r="C296" s="17" t="s">
        <v>546</v>
      </c>
      <c r="D296" s="17" t="s">
        <v>432</v>
      </c>
      <c r="E296" s="18">
        <v>8</v>
      </c>
      <c r="F296" s="177"/>
      <c r="G296" s="204"/>
    </row>
    <row r="297" spans="1:7">
      <c r="A297" s="197"/>
      <c r="B297" s="177"/>
      <c r="C297" s="17" t="s">
        <v>547</v>
      </c>
      <c r="D297" s="17" t="s">
        <v>434</v>
      </c>
      <c r="E297" s="18">
        <v>6</v>
      </c>
      <c r="F297" s="177"/>
      <c r="G297" s="204"/>
    </row>
    <row r="298" spans="1:7">
      <c r="A298" s="197"/>
      <c r="B298" s="177"/>
      <c r="C298" s="17" t="s">
        <v>548</v>
      </c>
      <c r="D298" s="17" t="s">
        <v>436</v>
      </c>
      <c r="E298" s="18">
        <v>2</v>
      </c>
      <c r="F298" s="177"/>
      <c r="G298" s="204"/>
    </row>
    <row r="299" spans="1:7">
      <c r="A299" s="197"/>
      <c r="B299" s="177"/>
      <c r="C299" s="53" t="s">
        <v>549</v>
      </c>
      <c r="D299" s="17" t="s">
        <v>438</v>
      </c>
      <c r="E299" s="18">
        <v>1</v>
      </c>
      <c r="F299" s="177"/>
      <c r="G299" s="205"/>
    </row>
    <row r="300" spans="1:7">
      <c r="A300" s="197" t="s">
        <v>138</v>
      </c>
      <c r="B300" s="199" t="s">
        <v>139</v>
      </c>
      <c r="C300" s="23" t="s">
        <v>423</v>
      </c>
      <c r="D300" s="23" t="s">
        <v>424</v>
      </c>
      <c r="E300" s="23" t="s">
        <v>425</v>
      </c>
      <c r="F300" s="23" t="s">
        <v>426</v>
      </c>
      <c r="G300" s="65" t="s">
        <v>427</v>
      </c>
    </row>
    <row r="301" spans="1:7">
      <c r="A301" s="197"/>
      <c r="B301" s="199"/>
      <c r="C301" s="17" t="s">
        <v>622</v>
      </c>
      <c r="D301" s="17" t="s">
        <v>429</v>
      </c>
      <c r="E301" s="18">
        <v>3</v>
      </c>
      <c r="F301" s="177" t="s">
        <v>623</v>
      </c>
      <c r="G301" s="203">
        <f>'Sprint Backlog - 27-06-25'!$G$73*4</f>
        <v>52</v>
      </c>
    </row>
    <row r="302" spans="1:7">
      <c r="A302" s="197"/>
      <c r="B302" s="199"/>
      <c r="C302" s="53" t="s">
        <v>624</v>
      </c>
      <c r="D302" s="17" t="s">
        <v>432</v>
      </c>
      <c r="E302" s="18">
        <v>8</v>
      </c>
      <c r="F302" s="177"/>
      <c r="G302" s="204"/>
    </row>
    <row r="303" spans="1:7">
      <c r="A303" s="197"/>
      <c r="B303" s="199"/>
      <c r="C303" s="17" t="s">
        <v>625</v>
      </c>
      <c r="D303" s="17" t="s">
        <v>434</v>
      </c>
      <c r="E303" s="18">
        <v>36</v>
      </c>
      <c r="F303" s="177"/>
      <c r="G303" s="204"/>
    </row>
    <row r="304" spans="1:7">
      <c r="A304" s="197"/>
      <c r="B304" s="199"/>
      <c r="C304" s="17" t="s">
        <v>626</v>
      </c>
      <c r="D304" s="17" t="s">
        <v>436</v>
      </c>
      <c r="E304" s="18">
        <v>3</v>
      </c>
      <c r="F304" s="177"/>
      <c r="G304" s="204"/>
    </row>
    <row r="305" spans="1:7">
      <c r="A305" s="198"/>
      <c r="B305" s="200"/>
      <c r="C305" s="67" t="s">
        <v>627</v>
      </c>
      <c r="D305" s="67" t="s">
        <v>438</v>
      </c>
      <c r="E305" s="66">
        <v>2</v>
      </c>
      <c r="F305" s="201"/>
      <c r="G305" s="206"/>
    </row>
    <row r="307" spans="1:7">
      <c r="A307" s="194" t="s">
        <v>708</v>
      </c>
      <c r="B307" s="195"/>
      <c r="C307" s="195"/>
      <c r="D307" s="195"/>
      <c r="E307" s="195"/>
      <c r="F307" s="195"/>
      <c r="G307" s="196"/>
    </row>
    <row r="308" spans="1:7">
      <c r="A308" s="64" t="s">
        <v>1</v>
      </c>
      <c r="B308" s="23" t="s">
        <v>422</v>
      </c>
      <c r="C308" s="23" t="s">
        <v>423</v>
      </c>
      <c r="D308" s="23" t="s">
        <v>424</v>
      </c>
      <c r="E308" s="23" t="s">
        <v>425</v>
      </c>
      <c r="F308" s="23" t="s">
        <v>426</v>
      </c>
      <c r="G308" s="65" t="s">
        <v>427</v>
      </c>
    </row>
    <row r="309" spans="1:7">
      <c r="A309" s="197" t="s">
        <v>155</v>
      </c>
      <c r="B309" s="177" t="s">
        <v>156</v>
      </c>
      <c r="C309" s="17" t="s">
        <v>654</v>
      </c>
      <c r="D309" s="17" t="s">
        <v>429</v>
      </c>
      <c r="E309" s="18">
        <v>1</v>
      </c>
      <c r="F309" s="177" t="s">
        <v>655</v>
      </c>
      <c r="G309" s="203">
        <f>'Sprint Backlog - 27-06-25'!$G$77*4</f>
        <v>32</v>
      </c>
    </row>
    <row r="310" spans="1:7">
      <c r="A310" s="197"/>
      <c r="B310" s="177"/>
      <c r="C310" s="53" t="s">
        <v>656</v>
      </c>
      <c r="D310" s="17" t="s">
        <v>432</v>
      </c>
      <c r="E310" s="18">
        <v>7</v>
      </c>
      <c r="F310" s="177"/>
      <c r="G310" s="204"/>
    </row>
    <row r="311" spans="1:7">
      <c r="A311" s="197"/>
      <c r="B311" s="177"/>
      <c r="C311" s="17" t="s">
        <v>657</v>
      </c>
      <c r="D311" s="17" t="s">
        <v>434</v>
      </c>
      <c r="E311" s="18">
        <v>21</v>
      </c>
      <c r="F311" s="177"/>
      <c r="G311" s="204"/>
    </row>
    <row r="312" spans="1:7">
      <c r="A312" s="197"/>
      <c r="B312" s="177"/>
      <c r="C312" s="17" t="s">
        <v>658</v>
      </c>
      <c r="D312" s="17" t="s">
        <v>436</v>
      </c>
      <c r="E312" s="18">
        <v>2</v>
      </c>
      <c r="F312" s="177"/>
      <c r="G312" s="204"/>
    </row>
    <row r="313" spans="1:7">
      <c r="A313" s="197"/>
      <c r="B313" s="177"/>
      <c r="C313" s="17" t="s">
        <v>659</v>
      </c>
      <c r="D313" s="17" t="s">
        <v>438</v>
      </c>
      <c r="E313" s="18">
        <v>1</v>
      </c>
      <c r="F313" s="177"/>
      <c r="G313" s="205"/>
    </row>
    <row r="314" spans="1:7">
      <c r="A314" s="197" t="s">
        <v>168</v>
      </c>
      <c r="B314" s="177" t="s">
        <v>169</v>
      </c>
      <c r="C314" s="23" t="s">
        <v>423</v>
      </c>
      <c r="D314" s="23" t="s">
        <v>424</v>
      </c>
      <c r="E314" s="23" t="s">
        <v>425</v>
      </c>
      <c r="F314" s="23" t="s">
        <v>426</v>
      </c>
      <c r="G314" s="65" t="s">
        <v>427</v>
      </c>
    </row>
    <row r="315" spans="1:7">
      <c r="A315" s="197"/>
      <c r="B315" s="177"/>
      <c r="C315" s="17" t="s">
        <v>666</v>
      </c>
      <c r="D315" s="17" t="s">
        <v>429</v>
      </c>
      <c r="E315" s="18">
        <v>2</v>
      </c>
      <c r="F315" s="177" t="s">
        <v>667</v>
      </c>
      <c r="G315" s="203">
        <f>'Sprint Backlog - 27-06-25'!$G$78*4</f>
        <v>12</v>
      </c>
    </row>
    <row r="316" spans="1:7">
      <c r="A316" s="197"/>
      <c r="B316" s="177"/>
      <c r="C316" s="17" t="s">
        <v>668</v>
      </c>
      <c r="D316" s="17" t="s">
        <v>432</v>
      </c>
      <c r="E316" s="18">
        <v>4</v>
      </c>
      <c r="F316" s="177"/>
      <c r="G316" s="204"/>
    </row>
    <row r="317" spans="1:7">
      <c r="A317" s="197"/>
      <c r="B317" s="177"/>
      <c r="C317" s="53" t="s">
        <v>669</v>
      </c>
      <c r="D317" s="17" t="s">
        <v>434</v>
      </c>
      <c r="E317" s="18">
        <v>4</v>
      </c>
      <c r="F317" s="177"/>
      <c r="G317" s="204"/>
    </row>
    <row r="318" spans="1:7">
      <c r="A318" s="197"/>
      <c r="B318" s="177"/>
      <c r="C318" s="53" t="s">
        <v>670</v>
      </c>
      <c r="D318" s="17" t="s">
        <v>436</v>
      </c>
      <c r="E318" s="18">
        <v>1</v>
      </c>
      <c r="F318" s="177"/>
      <c r="G318" s="204"/>
    </row>
    <row r="319" spans="1:7">
      <c r="A319" s="197"/>
      <c r="B319" s="177"/>
      <c r="C319" s="17" t="s">
        <v>671</v>
      </c>
      <c r="D319" s="17" t="s">
        <v>438</v>
      </c>
      <c r="E319" s="18">
        <v>1</v>
      </c>
      <c r="F319" s="177"/>
      <c r="G319" s="205"/>
    </row>
    <row r="320" spans="1:7">
      <c r="A320" s="197" t="s">
        <v>190</v>
      </c>
      <c r="B320" s="199" t="s">
        <v>191</v>
      </c>
      <c r="C320" s="23" t="s">
        <v>423</v>
      </c>
      <c r="D320" s="23" t="s">
        <v>424</v>
      </c>
      <c r="E320" s="23" t="s">
        <v>425</v>
      </c>
      <c r="F320" s="23" t="s">
        <v>426</v>
      </c>
      <c r="G320" s="65" t="s">
        <v>427</v>
      </c>
    </row>
    <row r="321" spans="1:7">
      <c r="A321" s="197"/>
      <c r="B321" s="199"/>
      <c r="C321" s="17" t="s">
        <v>696</v>
      </c>
      <c r="D321" s="17" t="s">
        <v>429</v>
      </c>
      <c r="E321" s="18">
        <v>1</v>
      </c>
      <c r="F321" s="177" t="s">
        <v>697</v>
      </c>
      <c r="G321" s="203">
        <f>'Sprint Backlog - 27-06-25'!$G$79*4</f>
        <v>20</v>
      </c>
    </row>
    <row r="322" spans="1:7">
      <c r="A322" s="197"/>
      <c r="B322" s="199"/>
      <c r="C322" s="17" t="s">
        <v>698</v>
      </c>
      <c r="D322" s="17" t="s">
        <v>432</v>
      </c>
      <c r="E322" s="18">
        <v>6</v>
      </c>
      <c r="F322" s="177"/>
      <c r="G322" s="204"/>
    </row>
    <row r="323" spans="1:7">
      <c r="A323" s="197"/>
      <c r="B323" s="199"/>
      <c r="C323" s="17" t="s">
        <v>699</v>
      </c>
      <c r="D323" s="17" t="s">
        <v>434</v>
      </c>
      <c r="E323" s="18">
        <v>10</v>
      </c>
      <c r="F323" s="177"/>
      <c r="G323" s="204"/>
    </row>
    <row r="324" spans="1:7">
      <c r="A324" s="197"/>
      <c r="B324" s="199"/>
      <c r="C324" s="17" t="s">
        <v>700</v>
      </c>
      <c r="D324" s="17" t="s">
        <v>436</v>
      </c>
      <c r="E324" s="18">
        <v>2</v>
      </c>
      <c r="F324" s="177"/>
      <c r="G324" s="204"/>
    </row>
    <row r="325" spans="1:7">
      <c r="A325" s="197"/>
      <c r="B325" s="199"/>
      <c r="C325" s="17" t="s">
        <v>701</v>
      </c>
      <c r="D325" s="17" t="s">
        <v>438</v>
      </c>
      <c r="E325" s="18">
        <v>1</v>
      </c>
      <c r="F325" s="177"/>
      <c r="G325" s="205"/>
    </row>
    <row r="326" spans="1:7">
      <c r="A326" s="197" t="s">
        <v>205</v>
      </c>
      <c r="B326" s="199" t="s">
        <v>206</v>
      </c>
      <c r="C326" s="23" t="s">
        <v>423</v>
      </c>
      <c r="D326" s="23" t="s">
        <v>424</v>
      </c>
      <c r="E326" s="23" t="s">
        <v>425</v>
      </c>
      <c r="F326" s="23" t="s">
        <v>426</v>
      </c>
      <c r="G326" s="65" t="s">
        <v>427</v>
      </c>
    </row>
    <row r="327" spans="1:7">
      <c r="A327" s="197"/>
      <c r="B327" s="199"/>
      <c r="C327" s="53" t="s">
        <v>715</v>
      </c>
      <c r="D327" s="17" t="s">
        <v>429</v>
      </c>
      <c r="E327" s="18">
        <v>1</v>
      </c>
      <c r="F327" s="177" t="s">
        <v>716</v>
      </c>
      <c r="G327" s="203">
        <f>'Sprint Backlog - 27-06-25'!$G$80*4</f>
        <v>4</v>
      </c>
    </row>
    <row r="328" spans="1:7">
      <c r="A328" s="197"/>
      <c r="B328" s="199"/>
      <c r="C328" s="17" t="s">
        <v>717</v>
      </c>
      <c r="D328" s="17" t="s">
        <v>432</v>
      </c>
      <c r="E328" s="18" t="s">
        <v>718</v>
      </c>
      <c r="F328" s="177"/>
      <c r="G328" s="204"/>
    </row>
    <row r="329" spans="1:7">
      <c r="A329" s="197"/>
      <c r="B329" s="199"/>
      <c r="C329" s="17" t="s">
        <v>719</v>
      </c>
      <c r="D329" s="17" t="s">
        <v>434</v>
      </c>
      <c r="E329" s="18">
        <v>2</v>
      </c>
      <c r="F329" s="177"/>
      <c r="G329" s="204"/>
    </row>
    <row r="330" spans="1:7">
      <c r="A330" s="197"/>
      <c r="B330" s="199"/>
      <c r="C330" s="17" t="s">
        <v>720</v>
      </c>
      <c r="D330" s="17" t="s">
        <v>436</v>
      </c>
      <c r="E330" s="18" t="s">
        <v>718</v>
      </c>
      <c r="F330" s="177"/>
      <c r="G330" s="204"/>
    </row>
    <row r="331" spans="1:7">
      <c r="A331" s="197"/>
      <c r="B331" s="199"/>
      <c r="C331" s="17" t="s">
        <v>499</v>
      </c>
      <c r="D331" s="17" t="s">
        <v>438</v>
      </c>
      <c r="E331" s="18">
        <v>1</v>
      </c>
      <c r="F331" s="177"/>
      <c r="G331" s="205"/>
    </row>
    <row r="332" spans="1:7">
      <c r="A332" s="197" t="s">
        <v>209</v>
      </c>
      <c r="B332" s="177" t="s">
        <v>210</v>
      </c>
      <c r="C332" s="23" t="s">
        <v>423</v>
      </c>
      <c r="D332" s="23" t="s">
        <v>424</v>
      </c>
      <c r="E332" s="23" t="s">
        <v>425</v>
      </c>
      <c r="F332" s="23" t="s">
        <v>426</v>
      </c>
      <c r="G332" s="65" t="s">
        <v>427</v>
      </c>
    </row>
    <row r="333" spans="1:7">
      <c r="A333" s="197"/>
      <c r="B333" s="177"/>
      <c r="C333" s="17" t="s">
        <v>721</v>
      </c>
      <c r="D333" s="17" t="s">
        <v>429</v>
      </c>
      <c r="E333" s="18">
        <v>1</v>
      </c>
      <c r="F333" s="177" t="s">
        <v>722</v>
      </c>
      <c r="G333" s="203">
        <f>'Sprint Backlog - 27-06-25'!$G$81*4</f>
        <v>4</v>
      </c>
    </row>
    <row r="334" spans="1:7">
      <c r="A334" s="197"/>
      <c r="B334" s="177"/>
      <c r="C334" s="17" t="s">
        <v>723</v>
      </c>
      <c r="D334" s="17" t="s">
        <v>432</v>
      </c>
      <c r="E334" s="18">
        <v>1</v>
      </c>
      <c r="F334" s="177"/>
      <c r="G334" s="204"/>
    </row>
    <row r="335" spans="1:7">
      <c r="A335" s="197"/>
      <c r="B335" s="177"/>
      <c r="C335" s="58"/>
      <c r="D335" s="17" t="s">
        <v>434</v>
      </c>
      <c r="E335" s="18"/>
      <c r="F335" s="177"/>
      <c r="G335" s="204"/>
    </row>
    <row r="336" spans="1:7">
      <c r="A336" s="197"/>
      <c r="B336" s="177"/>
      <c r="C336" s="53" t="s">
        <v>724</v>
      </c>
      <c r="D336" s="17" t="s">
        <v>436</v>
      </c>
      <c r="E336" s="18">
        <v>1</v>
      </c>
      <c r="F336" s="177"/>
      <c r="G336" s="204"/>
    </row>
    <row r="337" spans="1:7">
      <c r="A337" s="197"/>
      <c r="B337" s="177"/>
      <c r="C337" s="53" t="s">
        <v>725</v>
      </c>
      <c r="D337" s="17" t="s">
        <v>438</v>
      </c>
      <c r="E337" s="18">
        <v>1</v>
      </c>
      <c r="F337" s="177"/>
      <c r="G337" s="205"/>
    </row>
    <row r="338" spans="1:7">
      <c r="A338" s="197" t="s">
        <v>235</v>
      </c>
      <c r="B338" s="177" t="s">
        <v>236</v>
      </c>
      <c r="C338" s="23" t="s">
        <v>423</v>
      </c>
      <c r="D338" s="23" t="s">
        <v>424</v>
      </c>
      <c r="E338" s="23" t="s">
        <v>425</v>
      </c>
      <c r="F338" s="23" t="s">
        <v>426</v>
      </c>
      <c r="G338" s="65" t="s">
        <v>427</v>
      </c>
    </row>
    <row r="339" spans="1:7">
      <c r="A339" s="197"/>
      <c r="B339" s="177"/>
      <c r="C339" s="17" t="s">
        <v>752</v>
      </c>
      <c r="D339" s="17" t="s">
        <v>429</v>
      </c>
      <c r="E339" s="18">
        <v>2</v>
      </c>
      <c r="F339" s="177" t="s">
        <v>753</v>
      </c>
      <c r="G339" s="203">
        <f>'Sprint Backlog - 27-06-25'!$G$82*4</f>
        <v>8</v>
      </c>
    </row>
    <row r="340" spans="1:7">
      <c r="A340" s="197"/>
      <c r="B340" s="177"/>
      <c r="C340" s="17" t="s">
        <v>754</v>
      </c>
      <c r="D340" s="17" t="s">
        <v>432</v>
      </c>
      <c r="E340" s="18">
        <v>2</v>
      </c>
      <c r="F340" s="177"/>
      <c r="G340" s="204"/>
    </row>
    <row r="341" spans="1:7">
      <c r="A341" s="197"/>
      <c r="B341" s="177"/>
      <c r="C341" s="17" t="s">
        <v>755</v>
      </c>
      <c r="D341" s="17" t="s">
        <v>434</v>
      </c>
      <c r="E341" s="18">
        <v>2</v>
      </c>
      <c r="F341" s="177"/>
      <c r="G341" s="204"/>
    </row>
    <row r="342" spans="1:7">
      <c r="A342" s="197"/>
      <c r="B342" s="177"/>
      <c r="C342" s="17" t="s">
        <v>756</v>
      </c>
      <c r="D342" s="17" t="s">
        <v>436</v>
      </c>
      <c r="E342" s="18">
        <v>1</v>
      </c>
      <c r="F342" s="177"/>
      <c r="G342" s="204"/>
    </row>
    <row r="343" spans="1:7">
      <c r="A343" s="197"/>
      <c r="B343" s="177"/>
      <c r="C343" s="17" t="s">
        <v>508</v>
      </c>
      <c r="D343" s="17" t="s">
        <v>438</v>
      </c>
      <c r="E343" s="18">
        <v>1</v>
      </c>
      <c r="F343" s="177"/>
      <c r="G343" s="205"/>
    </row>
    <row r="344" spans="1:7">
      <c r="A344" s="197" t="s">
        <v>253</v>
      </c>
      <c r="B344" s="177" t="s">
        <v>254</v>
      </c>
      <c r="C344" s="23" t="s">
        <v>423</v>
      </c>
      <c r="D344" s="23" t="s">
        <v>424</v>
      </c>
      <c r="E344" s="23" t="s">
        <v>425</v>
      </c>
      <c r="F344" s="23" t="s">
        <v>426</v>
      </c>
      <c r="G344" s="65" t="s">
        <v>427</v>
      </c>
    </row>
    <row r="345" spans="1:7">
      <c r="A345" s="197"/>
      <c r="B345" s="177"/>
      <c r="C345" s="17" t="s">
        <v>590</v>
      </c>
      <c r="D345" s="17" t="s">
        <v>429</v>
      </c>
      <c r="E345" s="18">
        <v>1</v>
      </c>
      <c r="F345" s="177" t="s">
        <v>591</v>
      </c>
      <c r="G345" s="203">
        <f>'Sprint Backlog - 27-06-25'!$G$83*4</f>
        <v>8</v>
      </c>
    </row>
    <row r="346" spans="1:7">
      <c r="A346" s="197"/>
      <c r="B346" s="177"/>
      <c r="C346" s="17" t="s">
        <v>592</v>
      </c>
      <c r="D346" s="17" t="s">
        <v>432</v>
      </c>
      <c r="E346" s="18">
        <v>2</v>
      </c>
      <c r="F346" s="177"/>
      <c r="G346" s="204"/>
    </row>
    <row r="347" spans="1:7">
      <c r="A347" s="197"/>
      <c r="B347" s="177"/>
      <c r="C347" s="17" t="s">
        <v>593</v>
      </c>
      <c r="D347" s="17" t="s">
        <v>434</v>
      </c>
      <c r="E347" s="18">
        <v>3</v>
      </c>
      <c r="F347" s="177"/>
      <c r="G347" s="204"/>
    </row>
    <row r="348" spans="1:7">
      <c r="A348" s="197"/>
      <c r="B348" s="177"/>
      <c r="C348" s="17" t="s">
        <v>594</v>
      </c>
      <c r="D348" s="17" t="s">
        <v>436</v>
      </c>
      <c r="E348" s="18">
        <v>1</v>
      </c>
      <c r="F348" s="177"/>
      <c r="G348" s="204"/>
    </row>
    <row r="349" spans="1:7">
      <c r="A349" s="198"/>
      <c r="B349" s="201"/>
      <c r="C349" s="67" t="s">
        <v>595</v>
      </c>
      <c r="D349" s="67" t="s">
        <v>438</v>
      </c>
      <c r="E349" s="66">
        <v>1</v>
      </c>
      <c r="F349" s="201"/>
      <c r="G349" s="206"/>
    </row>
    <row r="350" spans="1:7">
      <c r="A350" s="31"/>
      <c r="B350" s="31"/>
      <c r="C350" s="4"/>
      <c r="D350" s="4"/>
      <c r="E350" s="31"/>
      <c r="F350" s="31"/>
      <c r="G350" s="31"/>
    </row>
    <row r="351" spans="1:7">
      <c r="A351" s="194" t="s">
        <v>746</v>
      </c>
      <c r="B351" s="195"/>
      <c r="C351" s="195"/>
      <c r="D351" s="195"/>
      <c r="E351" s="195"/>
      <c r="F351" s="195"/>
      <c r="G351" s="196"/>
    </row>
    <row r="352" spans="1:7">
      <c r="A352" s="64" t="s">
        <v>1</v>
      </c>
      <c r="B352" s="23" t="s">
        <v>422</v>
      </c>
      <c r="C352" s="23" t="s">
        <v>423</v>
      </c>
      <c r="D352" s="23" t="s">
        <v>424</v>
      </c>
      <c r="E352" s="23" t="s">
        <v>425</v>
      </c>
      <c r="F352" s="23" t="s">
        <v>426</v>
      </c>
      <c r="G352" s="65" t="s">
        <v>427</v>
      </c>
    </row>
    <row r="353" spans="1:7">
      <c r="A353" s="197" t="s">
        <v>261</v>
      </c>
      <c r="B353" s="177" t="s">
        <v>262</v>
      </c>
      <c r="C353" s="17" t="s">
        <v>599</v>
      </c>
      <c r="D353" s="17" t="s">
        <v>429</v>
      </c>
      <c r="E353" s="18">
        <v>1</v>
      </c>
      <c r="F353" s="177" t="s">
        <v>600</v>
      </c>
      <c r="G353" s="203">
        <f>'Sprint Backlog - 27-06-25'!$G$87*4</f>
        <v>8</v>
      </c>
    </row>
    <row r="354" spans="1:7">
      <c r="A354" s="197"/>
      <c r="B354" s="177"/>
      <c r="C354" s="17" t="s">
        <v>601</v>
      </c>
      <c r="D354" s="17" t="s">
        <v>432</v>
      </c>
      <c r="E354" s="18">
        <v>3</v>
      </c>
      <c r="F354" s="177"/>
      <c r="G354" s="204"/>
    </row>
    <row r="355" spans="1:7">
      <c r="A355" s="197"/>
      <c r="B355" s="177"/>
      <c r="C355" s="17" t="s">
        <v>602</v>
      </c>
      <c r="D355" s="17" t="s">
        <v>434</v>
      </c>
      <c r="E355" s="18">
        <v>2</v>
      </c>
      <c r="F355" s="177"/>
      <c r="G355" s="204"/>
    </row>
    <row r="356" spans="1:7">
      <c r="A356" s="197"/>
      <c r="B356" s="177"/>
      <c r="C356" s="17" t="s">
        <v>498</v>
      </c>
      <c r="D356" s="17" t="s">
        <v>436</v>
      </c>
      <c r="E356" s="18">
        <v>1</v>
      </c>
      <c r="F356" s="177"/>
      <c r="G356" s="204"/>
    </row>
    <row r="357" spans="1:7">
      <c r="A357" s="197"/>
      <c r="B357" s="177"/>
      <c r="C357" s="17" t="s">
        <v>499</v>
      </c>
      <c r="D357" s="17" t="s">
        <v>438</v>
      </c>
      <c r="E357" s="18">
        <v>1</v>
      </c>
      <c r="F357" s="177"/>
      <c r="G357" s="205"/>
    </row>
    <row r="358" spans="1:7">
      <c r="A358" s="197" t="s">
        <v>61</v>
      </c>
      <c r="B358" s="177" t="s">
        <v>62</v>
      </c>
      <c r="C358" s="23" t="s">
        <v>423</v>
      </c>
      <c r="D358" s="23" t="s">
        <v>424</v>
      </c>
      <c r="E358" s="23" t="s">
        <v>425</v>
      </c>
      <c r="F358" s="23" t="s">
        <v>426</v>
      </c>
      <c r="G358" s="65" t="s">
        <v>427</v>
      </c>
    </row>
    <row r="359" spans="1:7">
      <c r="A359" s="197"/>
      <c r="B359" s="177"/>
      <c r="C359" s="17" t="s">
        <v>503</v>
      </c>
      <c r="D359" s="17" t="s">
        <v>429</v>
      </c>
      <c r="E359" s="18">
        <v>1</v>
      </c>
      <c r="F359" s="177" t="s">
        <v>504</v>
      </c>
      <c r="G359" s="203">
        <f>'Sprint Backlog - 27-06-25'!$G$88*4</f>
        <v>12</v>
      </c>
    </row>
    <row r="360" spans="1:7">
      <c r="A360" s="197"/>
      <c r="B360" s="177"/>
      <c r="C360" s="17" t="s">
        <v>505</v>
      </c>
      <c r="D360" s="17" t="s">
        <v>432</v>
      </c>
      <c r="E360" s="18">
        <v>4</v>
      </c>
      <c r="F360" s="177"/>
      <c r="G360" s="204"/>
    </row>
    <row r="361" spans="1:7">
      <c r="A361" s="197"/>
      <c r="B361" s="177"/>
      <c r="C361" s="53" t="s">
        <v>506</v>
      </c>
      <c r="D361" s="17" t="s">
        <v>434</v>
      </c>
      <c r="E361" s="18">
        <v>5</v>
      </c>
      <c r="F361" s="177"/>
      <c r="G361" s="204"/>
    </row>
    <row r="362" spans="1:7">
      <c r="A362" s="197"/>
      <c r="B362" s="177"/>
      <c r="C362" s="53" t="s">
        <v>507</v>
      </c>
      <c r="D362" s="17" t="s">
        <v>436</v>
      </c>
      <c r="E362" s="18">
        <v>1</v>
      </c>
      <c r="F362" s="177"/>
      <c r="G362" s="204"/>
    </row>
    <row r="363" spans="1:7">
      <c r="A363" s="197"/>
      <c r="B363" s="177"/>
      <c r="C363" s="17" t="s">
        <v>508</v>
      </c>
      <c r="D363" s="17" t="s">
        <v>438</v>
      </c>
      <c r="E363" s="18">
        <v>1</v>
      </c>
      <c r="F363" s="177"/>
      <c r="G363" s="205"/>
    </row>
    <row r="364" spans="1:7">
      <c r="A364" s="197" t="s">
        <v>65</v>
      </c>
      <c r="B364" s="177" t="s">
        <v>66</v>
      </c>
      <c r="C364" s="23" t="s">
        <v>423</v>
      </c>
      <c r="D364" s="23" t="s">
        <v>424</v>
      </c>
      <c r="E364" s="23" t="s">
        <v>425</v>
      </c>
      <c r="F364" s="23" t="s">
        <v>426</v>
      </c>
      <c r="G364" s="65" t="s">
        <v>427</v>
      </c>
    </row>
    <row r="365" spans="1:7">
      <c r="A365" s="197"/>
      <c r="B365" s="177"/>
      <c r="C365" s="17" t="s">
        <v>509</v>
      </c>
      <c r="D365" s="17" t="s">
        <v>429</v>
      </c>
      <c r="E365" s="18">
        <v>1</v>
      </c>
      <c r="F365" s="177" t="s">
        <v>510</v>
      </c>
      <c r="G365" s="203">
        <f>'Sprint Backlog - 27-06-25'!$G$89*4</f>
        <v>8</v>
      </c>
    </row>
    <row r="366" spans="1:7">
      <c r="A366" s="197"/>
      <c r="B366" s="177"/>
      <c r="C366" s="17" t="s">
        <v>511</v>
      </c>
      <c r="D366" s="17" t="s">
        <v>432</v>
      </c>
      <c r="E366" s="18">
        <v>2</v>
      </c>
      <c r="F366" s="177"/>
      <c r="G366" s="204"/>
    </row>
    <row r="367" spans="1:7">
      <c r="A367" s="197"/>
      <c r="B367" s="177"/>
      <c r="C367" s="53" t="s">
        <v>512</v>
      </c>
      <c r="D367" s="17" t="s">
        <v>434</v>
      </c>
      <c r="E367" s="18">
        <v>3</v>
      </c>
      <c r="F367" s="177"/>
      <c r="G367" s="204"/>
    </row>
    <row r="368" spans="1:7">
      <c r="A368" s="197"/>
      <c r="B368" s="177"/>
      <c r="C368" s="53" t="s">
        <v>507</v>
      </c>
      <c r="D368" s="17" t="s">
        <v>436</v>
      </c>
      <c r="E368" s="18">
        <v>1</v>
      </c>
      <c r="F368" s="177"/>
      <c r="G368" s="204"/>
    </row>
    <row r="369" spans="1:7">
      <c r="A369" s="198"/>
      <c r="B369" s="201"/>
      <c r="C369" s="67" t="s">
        <v>508</v>
      </c>
      <c r="D369" s="67" t="s">
        <v>438</v>
      </c>
      <c r="E369" s="66">
        <v>1</v>
      </c>
      <c r="F369" s="201"/>
      <c r="G369" s="206"/>
    </row>
  </sheetData>
  <mergeCells count="243">
    <mergeCell ref="A14:A19"/>
    <mergeCell ref="B14:B19"/>
    <mergeCell ref="F15:F19"/>
    <mergeCell ref="G15:G19"/>
    <mergeCell ref="A20:A25"/>
    <mergeCell ref="B20:B25"/>
    <mergeCell ref="F21:F25"/>
    <mergeCell ref="G21:G25"/>
    <mergeCell ref="A1:G1"/>
    <mergeCell ref="A3:A7"/>
    <mergeCell ref="B3:B7"/>
    <mergeCell ref="F3:F7"/>
    <mergeCell ref="G3:G7"/>
    <mergeCell ref="A8:A13"/>
    <mergeCell ref="B8:B13"/>
    <mergeCell ref="F9:F13"/>
    <mergeCell ref="G9:G13"/>
    <mergeCell ref="A46:A51"/>
    <mergeCell ref="B46:B51"/>
    <mergeCell ref="F47:F51"/>
    <mergeCell ref="G47:G51"/>
    <mergeCell ref="A26:A31"/>
    <mergeCell ref="B26:B31"/>
    <mergeCell ref="F27:F31"/>
    <mergeCell ref="G27:G31"/>
    <mergeCell ref="A33:G33"/>
    <mergeCell ref="A35:A39"/>
    <mergeCell ref="B35:B39"/>
    <mergeCell ref="F35:F39"/>
    <mergeCell ref="G35:G39"/>
    <mergeCell ref="A40:A45"/>
    <mergeCell ref="B40:B45"/>
    <mergeCell ref="F41:F45"/>
    <mergeCell ref="G41:G45"/>
    <mergeCell ref="A65:G65"/>
    <mergeCell ref="A67:A71"/>
    <mergeCell ref="A72:A77"/>
    <mergeCell ref="B72:B77"/>
    <mergeCell ref="F73:F77"/>
    <mergeCell ref="G73:G77"/>
    <mergeCell ref="A52:A57"/>
    <mergeCell ref="B52:B57"/>
    <mergeCell ref="F53:F57"/>
    <mergeCell ref="G53:G57"/>
    <mergeCell ref="A58:A63"/>
    <mergeCell ref="B58:B63"/>
    <mergeCell ref="F59:F63"/>
    <mergeCell ref="G59:G63"/>
    <mergeCell ref="B67:B71"/>
    <mergeCell ref="F67:F71"/>
    <mergeCell ref="G67:G71"/>
    <mergeCell ref="A90:A95"/>
    <mergeCell ref="B90:B95"/>
    <mergeCell ref="F91:F95"/>
    <mergeCell ref="G91:G95"/>
    <mergeCell ref="A96:A101"/>
    <mergeCell ref="B96:B101"/>
    <mergeCell ref="F97:F101"/>
    <mergeCell ref="G97:G101"/>
    <mergeCell ref="A78:A83"/>
    <mergeCell ref="B78:B83"/>
    <mergeCell ref="F79:F83"/>
    <mergeCell ref="G79:G83"/>
    <mergeCell ref="A84:A89"/>
    <mergeCell ref="B84:B89"/>
    <mergeCell ref="F85:F89"/>
    <mergeCell ref="G85:G89"/>
    <mergeCell ref="A116:A121"/>
    <mergeCell ref="B116:B121"/>
    <mergeCell ref="F117:F121"/>
    <mergeCell ref="G117:G121"/>
    <mergeCell ref="A122:A127"/>
    <mergeCell ref="B122:B127"/>
    <mergeCell ref="F123:F127"/>
    <mergeCell ref="G123:G127"/>
    <mergeCell ref="A103:G103"/>
    <mergeCell ref="A105:A109"/>
    <mergeCell ref="B105:B109"/>
    <mergeCell ref="F105:F109"/>
    <mergeCell ref="G105:G109"/>
    <mergeCell ref="A110:A115"/>
    <mergeCell ref="B110:B115"/>
    <mergeCell ref="F111:F115"/>
    <mergeCell ref="G111:G115"/>
    <mergeCell ref="A128:A133"/>
    <mergeCell ref="B128:B133"/>
    <mergeCell ref="F129:F133"/>
    <mergeCell ref="G129:G133"/>
    <mergeCell ref="A141:G141"/>
    <mergeCell ref="A143:A147"/>
    <mergeCell ref="B143:B147"/>
    <mergeCell ref="F143:F147"/>
    <mergeCell ref="G143:G147"/>
    <mergeCell ref="A134:A139"/>
    <mergeCell ref="B134:B139"/>
    <mergeCell ref="F135:F139"/>
    <mergeCell ref="G135:G139"/>
    <mergeCell ref="F187:F191"/>
    <mergeCell ref="G187:G191"/>
    <mergeCell ref="A148:A153"/>
    <mergeCell ref="B148:B153"/>
    <mergeCell ref="F149:F153"/>
    <mergeCell ref="G149:G153"/>
    <mergeCell ref="A154:A159"/>
    <mergeCell ref="B154:B159"/>
    <mergeCell ref="F155:F159"/>
    <mergeCell ref="G155:G159"/>
    <mergeCell ref="A173:G173"/>
    <mergeCell ref="A175:A179"/>
    <mergeCell ref="B175:B179"/>
    <mergeCell ref="F175:F179"/>
    <mergeCell ref="G175:G179"/>
    <mergeCell ref="A160:A165"/>
    <mergeCell ref="B160:B165"/>
    <mergeCell ref="F161:F165"/>
    <mergeCell ref="G161:G165"/>
    <mergeCell ref="A166:A171"/>
    <mergeCell ref="B166:B171"/>
    <mergeCell ref="F167:F171"/>
    <mergeCell ref="G167:G171"/>
    <mergeCell ref="A180:A185"/>
    <mergeCell ref="A262:A267"/>
    <mergeCell ref="B262:B267"/>
    <mergeCell ref="F263:F267"/>
    <mergeCell ref="G263:G267"/>
    <mergeCell ref="A268:A273"/>
    <mergeCell ref="B268:B273"/>
    <mergeCell ref="F269:F273"/>
    <mergeCell ref="G269:G273"/>
    <mergeCell ref="A249:G249"/>
    <mergeCell ref="A251:A255"/>
    <mergeCell ref="B251:B255"/>
    <mergeCell ref="F251:F255"/>
    <mergeCell ref="G251:G255"/>
    <mergeCell ref="A256:A261"/>
    <mergeCell ref="B256:B261"/>
    <mergeCell ref="F257:F261"/>
    <mergeCell ref="G257:G261"/>
    <mergeCell ref="A287:G287"/>
    <mergeCell ref="A289:A293"/>
    <mergeCell ref="B289:B293"/>
    <mergeCell ref="F289:F293"/>
    <mergeCell ref="G289:G293"/>
    <mergeCell ref="A294:A299"/>
    <mergeCell ref="B294:B299"/>
    <mergeCell ref="F295:F299"/>
    <mergeCell ref="G295:G299"/>
    <mergeCell ref="G237:G241"/>
    <mergeCell ref="A224:A229"/>
    <mergeCell ref="A364:A369"/>
    <mergeCell ref="B364:B369"/>
    <mergeCell ref="F365:F369"/>
    <mergeCell ref="G365:G369"/>
    <mergeCell ref="A351:G351"/>
    <mergeCell ref="A353:A357"/>
    <mergeCell ref="B353:B357"/>
    <mergeCell ref="F353:F357"/>
    <mergeCell ref="G353:G357"/>
    <mergeCell ref="A358:A363"/>
    <mergeCell ref="B358:B363"/>
    <mergeCell ref="F359:F363"/>
    <mergeCell ref="G359:G363"/>
    <mergeCell ref="G315:G319"/>
    <mergeCell ref="A320:A325"/>
    <mergeCell ref="B320:B325"/>
    <mergeCell ref="F321:F325"/>
    <mergeCell ref="G321:G325"/>
    <mergeCell ref="A307:G307"/>
    <mergeCell ref="A309:A313"/>
    <mergeCell ref="B309:B313"/>
    <mergeCell ref="F309:F313"/>
    <mergeCell ref="F219:F223"/>
    <mergeCell ref="G219:G223"/>
    <mergeCell ref="A338:A343"/>
    <mergeCell ref="B338:B343"/>
    <mergeCell ref="F339:F343"/>
    <mergeCell ref="A192:A197"/>
    <mergeCell ref="B192:B197"/>
    <mergeCell ref="F193:F197"/>
    <mergeCell ref="G193:G197"/>
    <mergeCell ref="A198:A203"/>
    <mergeCell ref="B198:B203"/>
    <mergeCell ref="F199:F203"/>
    <mergeCell ref="G199:G203"/>
    <mergeCell ref="A242:A247"/>
    <mergeCell ref="B242:B247"/>
    <mergeCell ref="F243:F247"/>
    <mergeCell ref="G243:G247"/>
    <mergeCell ref="B204:B209"/>
    <mergeCell ref="F205:F209"/>
    <mergeCell ref="G205:G209"/>
    <mergeCell ref="A204:A209"/>
    <mergeCell ref="A236:A241"/>
    <mergeCell ref="B236:B241"/>
    <mergeCell ref="F237:F241"/>
    <mergeCell ref="A344:A349"/>
    <mergeCell ref="B344:B349"/>
    <mergeCell ref="A274:A279"/>
    <mergeCell ref="B274:B279"/>
    <mergeCell ref="F275:F279"/>
    <mergeCell ref="G275:G279"/>
    <mergeCell ref="A280:A285"/>
    <mergeCell ref="B280:B285"/>
    <mergeCell ref="F281:F285"/>
    <mergeCell ref="G281:G285"/>
    <mergeCell ref="G339:G343"/>
    <mergeCell ref="F345:F349"/>
    <mergeCell ref="G345:G349"/>
    <mergeCell ref="A326:A331"/>
    <mergeCell ref="B326:B331"/>
    <mergeCell ref="F327:F331"/>
    <mergeCell ref="G327:G331"/>
    <mergeCell ref="A332:A337"/>
    <mergeCell ref="B332:B337"/>
    <mergeCell ref="G309:G313"/>
    <mergeCell ref="A300:A305"/>
    <mergeCell ref="B300:B305"/>
    <mergeCell ref="F301:F305"/>
    <mergeCell ref="G301:G305"/>
    <mergeCell ref="F333:F337"/>
    <mergeCell ref="G333:G337"/>
    <mergeCell ref="A314:A319"/>
    <mergeCell ref="B314:B319"/>
    <mergeCell ref="F315:F319"/>
    <mergeCell ref="B180:B185"/>
    <mergeCell ref="F181:F185"/>
    <mergeCell ref="G181:G185"/>
    <mergeCell ref="A186:A191"/>
    <mergeCell ref="B186:B191"/>
    <mergeCell ref="B224:B229"/>
    <mergeCell ref="F225:F229"/>
    <mergeCell ref="G225:G229"/>
    <mergeCell ref="A230:A235"/>
    <mergeCell ref="B230:B235"/>
    <mergeCell ref="F231:F235"/>
    <mergeCell ref="G231:G235"/>
    <mergeCell ref="A211:G211"/>
    <mergeCell ref="A213:A217"/>
    <mergeCell ref="B213:B217"/>
    <mergeCell ref="F213:F217"/>
    <mergeCell ref="G213:G217"/>
    <mergeCell ref="A218:A223"/>
    <mergeCell ref="B218:B2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A292-B8C5-4EEA-B3A9-886D5F8FE0B3}">
  <dimension ref="A1:G381"/>
  <sheetViews>
    <sheetView topLeftCell="A72" zoomScale="85" zoomScaleNormal="85" workbookViewId="0">
      <selection activeCell="G97" sqref="G97:G101"/>
    </sheetView>
  </sheetViews>
  <sheetFormatPr defaultColWidth="9.140625" defaultRowHeight="15"/>
  <cols>
    <col min="1" max="1" width="6.28515625" style="5" bestFit="1" customWidth="1"/>
    <col min="2" max="2" width="39.85546875" style="5" customWidth="1"/>
    <col min="3" max="3" width="89.42578125" style="5" customWidth="1"/>
    <col min="4" max="4" width="12.42578125" style="10" bestFit="1" customWidth="1"/>
    <col min="5" max="5" width="16" style="10" bestFit="1" customWidth="1"/>
    <col min="6" max="6" width="30" style="4" customWidth="1"/>
    <col min="7" max="7" width="13" style="4" bestFit="1" customWidth="1"/>
    <col min="8" max="8" width="3.28515625" style="5" bestFit="1" customWidth="1"/>
    <col min="9" max="16384" width="9.140625" style="5"/>
  </cols>
  <sheetData>
    <row r="1" spans="1:7">
      <c r="A1" s="194" t="s">
        <v>421</v>
      </c>
      <c r="B1" s="195"/>
      <c r="C1" s="195"/>
      <c r="D1" s="195"/>
      <c r="E1" s="195"/>
      <c r="F1" s="195"/>
      <c r="G1" s="196"/>
    </row>
    <row r="2" spans="1:7">
      <c r="A2" s="64" t="s">
        <v>1</v>
      </c>
      <c r="B2" s="23" t="s">
        <v>422</v>
      </c>
      <c r="C2" s="23" t="s">
        <v>423</v>
      </c>
      <c r="D2" s="23" t="s">
        <v>424</v>
      </c>
      <c r="E2" s="23" t="s">
        <v>425</v>
      </c>
      <c r="F2" s="23" t="s">
        <v>426</v>
      </c>
      <c r="G2" s="65" t="s">
        <v>427</v>
      </c>
    </row>
    <row r="3" spans="1:7">
      <c r="A3" s="197" t="s">
        <v>30</v>
      </c>
      <c r="B3" s="177" t="s">
        <v>31</v>
      </c>
      <c r="C3" s="17" t="s">
        <v>465</v>
      </c>
      <c r="D3" s="17" t="s">
        <v>429</v>
      </c>
      <c r="E3" s="18">
        <v>3</v>
      </c>
      <c r="F3" s="177" t="s">
        <v>466</v>
      </c>
      <c r="G3" s="192">
        <f>'Sprint Backlog - 27-06-25'!$G$2*4</f>
        <v>12</v>
      </c>
    </row>
    <row r="4" spans="1:7">
      <c r="A4" s="197"/>
      <c r="B4" s="177"/>
      <c r="C4" s="53" t="s">
        <v>467</v>
      </c>
      <c r="D4" s="17" t="s">
        <v>432</v>
      </c>
      <c r="E4" s="18">
        <v>3</v>
      </c>
      <c r="F4" s="177"/>
      <c r="G4" s="192"/>
    </row>
    <row r="5" spans="1:7">
      <c r="A5" s="197"/>
      <c r="B5" s="177"/>
      <c r="C5" s="17" t="s">
        <v>468</v>
      </c>
      <c r="D5" s="17" t="s">
        <v>434</v>
      </c>
      <c r="E5" s="18">
        <v>3</v>
      </c>
      <c r="F5" s="177"/>
      <c r="G5" s="192"/>
    </row>
    <row r="6" spans="1:7">
      <c r="A6" s="197"/>
      <c r="B6" s="177"/>
      <c r="C6" s="17" t="s">
        <v>469</v>
      </c>
      <c r="D6" s="17" t="s">
        <v>436</v>
      </c>
      <c r="E6" s="18">
        <v>2</v>
      </c>
      <c r="F6" s="177"/>
      <c r="G6" s="192"/>
    </row>
    <row r="7" spans="1:7">
      <c r="A7" s="197"/>
      <c r="B7" s="177"/>
      <c r="C7" s="17" t="s">
        <v>470</v>
      </c>
      <c r="D7" s="17" t="s">
        <v>438</v>
      </c>
      <c r="E7" s="18">
        <v>1</v>
      </c>
      <c r="F7" s="177"/>
      <c r="G7" s="192"/>
    </row>
    <row r="8" spans="1:7">
      <c r="A8" s="197" t="s">
        <v>39</v>
      </c>
      <c r="B8" s="177" t="s">
        <v>40</v>
      </c>
      <c r="C8" s="23" t="s">
        <v>423</v>
      </c>
      <c r="D8" s="23" t="s">
        <v>424</v>
      </c>
      <c r="E8" s="23" t="s">
        <v>425</v>
      </c>
      <c r="F8" s="23" t="s">
        <v>426</v>
      </c>
      <c r="G8" s="65" t="s">
        <v>427</v>
      </c>
    </row>
    <row r="9" spans="1:7">
      <c r="A9" s="197"/>
      <c r="B9" s="177"/>
      <c r="C9" s="17" t="s">
        <v>477</v>
      </c>
      <c r="D9" s="17" t="s">
        <v>429</v>
      </c>
      <c r="E9" s="18">
        <v>3</v>
      </c>
      <c r="F9" s="177" t="s">
        <v>478</v>
      </c>
      <c r="G9" s="192">
        <f>'Sprint Backlog - 27-06-25'!$G$3*4</f>
        <v>20</v>
      </c>
    </row>
    <row r="10" spans="1:7">
      <c r="A10" s="197"/>
      <c r="B10" s="177"/>
      <c r="C10" s="17" t="s">
        <v>479</v>
      </c>
      <c r="D10" s="17" t="s">
        <v>432</v>
      </c>
      <c r="E10" s="18">
        <v>8</v>
      </c>
      <c r="F10" s="177"/>
      <c r="G10" s="192"/>
    </row>
    <row r="11" spans="1:7">
      <c r="A11" s="197"/>
      <c r="B11" s="177"/>
      <c r="C11" s="17" t="s">
        <v>480</v>
      </c>
      <c r="D11" s="17" t="s">
        <v>434</v>
      </c>
      <c r="E11" s="18">
        <v>5</v>
      </c>
      <c r="F11" s="177"/>
      <c r="G11" s="192"/>
    </row>
    <row r="12" spans="1:7">
      <c r="A12" s="197"/>
      <c r="B12" s="177"/>
      <c r="C12" s="17" t="s">
        <v>481</v>
      </c>
      <c r="D12" s="17" t="s">
        <v>436</v>
      </c>
      <c r="E12" s="18">
        <v>3</v>
      </c>
      <c r="F12" s="177"/>
      <c r="G12" s="192"/>
    </row>
    <row r="13" spans="1:7">
      <c r="A13" s="197"/>
      <c r="B13" s="177"/>
      <c r="C13" s="17" t="s">
        <v>482</v>
      </c>
      <c r="D13" s="17" t="s">
        <v>438</v>
      </c>
      <c r="E13" s="18">
        <v>1</v>
      </c>
      <c r="F13" s="177"/>
      <c r="G13" s="192"/>
    </row>
    <row r="14" spans="1:7">
      <c r="A14" s="197" t="s">
        <v>74</v>
      </c>
      <c r="B14" s="177" t="s">
        <v>75</v>
      </c>
      <c r="C14" s="23" t="s">
        <v>423</v>
      </c>
      <c r="D14" s="23" t="s">
        <v>424</v>
      </c>
      <c r="E14" s="23" t="s">
        <v>425</v>
      </c>
      <c r="F14" s="23" t="s">
        <v>426</v>
      </c>
      <c r="G14" s="65" t="s">
        <v>427</v>
      </c>
    </row>
    <row r="15" spans="1:7">
      <c r="A15" s="197"/>
      <c r="B15" s="177"/>
      <c r="C15" s="17" t="s">
        <v>519</v>
      </c>
      <c r="D15" s="17" t="s">
        <v>429</v>
      </c>
      <c r="E15" s="18">
        <v>3</v>
      </c>
      <c r="F15" s="177" t="s">
        <v>520</v>
      </c>
      <c r="G15" s="192">
        <f>'Sprint Backlog - 27-06-25'!$G$4*4</f>
        <v>20</v>
      </c>
    </row>
    <row r="16" spans="1:7">
      <c r="A16" s="197"/>
      <c r="B16" s="177"/>
      <c r="C16" s="17" t="s">
        <v>521</v>
      </c>
      <c r="D16" s="17" t="s">
        <v>432</v>
      </c>
      <c r="E16" s="18">
        <v>7</v>
      </c>
      <c r="F16" s="177"/>
      <c r="G16" s="192"/>
    </row>
    <row r="17" spans="1:7">
      <c r="A17" s="197"/>
      <c r="B17" s="177"/>
      <c r="C17" s="17" t="s">
        <v>522</v>
      </c>
      <c r="D17" s="17" t="s">
        <v>434</v>
      </c>
      <c r="E17" s="18">
        <v>7</v>
      </c>
      <c r="F17" s="177"/>
      <c r="G17" s="192"/>
    </row>
    <row r="18" spans="1:7">
      <c r="A18" s="197"/>
      <c r="B18" s="177"/>
      <c r="C18" s="17" t="s">
        <v>523</v>
      </c>
      <c r="D18" s="17" t="s">
        <v>436</v>
      </c>
      <c r="E18" s="18">
        <v>2</v>
      </c>
      <c r="F18" s="177"/>
      <c r="G18" s="192"/>
    </row>
    <row r="19" spans="1:7">
      <c r="A19" s="197"/>
      <c r="B19" s="177"/>
      <c r="C19" s="17" t="s">
        <v>524</v>
      </c>
      <c r="D19" s="17" t="s">
        <v>438</v>
      </c>
      <c r="E19" s="18">
        <v>1</v>
      </c>
      <c r="F19" s="177"/>
      <c r="G19" s="192"/>
    </row>
    <row r="20" spans="1:7">
      <c r="A20" s="197" t="s">
        <v>177</v>
      </c>
      <c r="B20" s="177" t="s">
        <v>178</v>
      </c>
      <c r="C20" s="23" t="s">
        <v>423</v>
      </c>
      <c r="D20" s="23" t="s">
        <v>424</v>
      </c>
      <c r="E20" s="23" t="s">
        <v>425</v>
      </c>
      <c r="F20" s="23" t="s">
        <v>426</v>
      </c>
      <c r="G20" s="65" t="s">
        <v>427</v>
      </c>
    </row>
    <row r="21" spans="1:7">
      <c r="A21" s="197"/>
      <c r="B21" s="177"/>
      <c r="C21" s="17" t="s">
        <v>679</v>
      </c>
      <c r="D21" s="17" t="s">
        <v>429</v>
      </c>
      <c r="E21" s="18">
        <v>2</v>
      </c>
      <c r="F21" s="177" t="s">
        <v>680</v>
      </c>
      <c r="G21" s="192">
        <f>'Sprint Backlog - 27-06-25'!$G$5*4</f>
        <v>20</v>
      </c>
    </row>
    <row r="22" spans="1:7">
      <c r="A22" s="197"/>
      <c r="B22" s="177"/>
      <c r="C22" s="17" t="s">
        <v>681</v>
      </c>
      <c r="D22" s="17" t="s">
        <v>432</v>
      </c>
      <c r="E22" s="18">
        <v>7</v>
      </c>
      <c r="F22" s="177"/>
      <c r="G22" s="192"/>
    </row>
    <row r="23" spans="1:7">
      <c r="A23" s="197"/>
      <c r="B23" s="177"/>
      <c r="C23" s="106" t="s">
        <v>682</v>
      </c>
      <c r="D23" s="17" t="s">
        <v>434</v>
      </c>
      <c r="E23" s="18">
        <v>9</v>
      </c>
      <c r="F23" s="177"/>
      <c r="G23" s="192"/>
    </row>
    <row r="24" spans="1:7">
      <c r="A24" s="197"/>
      <c r="B24" s="177"/>
      <c r="C24" s="106" t="s">
        <v>683</v>
      </c>
      <c r="D24" s="17" t="s">
        <v>436</v>
      </c>
      <c r="E24" s="18">
        <v>1</v>
      </c>
      <c r="F24" s="177"/>
      <c r="G24" s="192"/>
    </row>
    <row r="25" spans="1:7">
      <c r="A25" s="197"/>
      <c r="B25" s="177"/>
      <c r="C25" s="17" t="s">
        <v>684</v>
      </c>
      <c r="D25" s="17" t="s">
        <v>438</v>
      </c>
      <c r="E25" s="18">
        <v>1</v>
      </c>
      <c r="F25" s="177"/>
      <c r="G25" s="192"/>
    </row>
    <row r="26" spans="1:7">
      <c r="A26" s="197" t="s">
        <v>6</v>
      </c>
      <c r="B26" s="199" t="s">
        <v>7</v>
      </c>
      <c r="C26" s="23" t="s">
        <v>423</v>
      </c>
      <c r="D26" s="23" t="s">
        <v>424</v>
      </c>
      <c r="E26" s="23" t="s">
        <v>425</v>
      </c>
      <c r="F26" s="23" t="s">
        <v>426</v>
      </c>
      <c r="G26" s="65" t="s">
        <v>427</v>
      </c>
    </row>
    <row r="27" spans="1:7">
      <c r="A27" s="197"/>
      <c r="B27" s="199"/>
      <c r="C27" s="17" t="s">
        <v>428</v>
      </c>
      <c r="D27" s="17" t="s">
        <v>429</v>
      </c>
      <c r="E27" s="18">
        <v>3</v>
      </c>
      <c r="F27" s="177" t="s">
        <v>430</v>
      </c>
      <c r="G27" s="192">
        <f>'Sprint Backlog - 27-06-25'!$G$6*4</f>
        <v>20</v>
      </c>
    </row>
    <row r="28" spans="1:7">
      <c r="A28" s="197"/>
      <c r="B28" s="199"/>
      <c r="C28" s="17" t="s">
        <v>431</v>
      </c>
      <c r="D28" s="17" t="s">
        <v>432</v>
      </c>
      <c r="E28" s="18">
        <v>6</v>
      </c>
      <c r="F28" s="177"/>
      <c r="G28" s="192"/>
    </row>
    <row r="29" spans="1:7">
      <c r="A29" s="197"/>
      <c r="B29" s="199"/>
      <c r="C29" s="17" t="s">
        <v>433</v>
      </c>
      <c r="D29" s="17" t="s">
        <v>434</v>
      </c>
      <c r="E29" s="18">
        <v>8</v>
      </c>
      <c r="F29" s="177"/>
      <c r="G29" s="192"/>
    </row>
    <row r="30" spans="1:7">
      <c r="A30" s="197"/>
      <c r="B30" s="199"/>
      <c r="C30" s="17" t="s">
        <v>435</v>
      </c>
      <c r="D30" s="17" t="s">
        <v>436</v>
      </c>
      <c r="E30" s="18">
        <v>2</v>
      </c>
      <c r="F30" s="177"/>
      <c r="G30" s="192"/>
    </row>
    <row r="31" spans="1:7">
      <c r="A31" s="198"/>
      <c r="B31" s="200"/>
      <c r="C31" s="67" t="s">
        <v>437</v>
      </c>
      <c r="D31" s="67" t="s">
        <v>438</v>
      </c>
      <c r="E31" s="66">
        <v>1</v>
      </c>
      <c r="F31" s="201"/>
      <c r="G31" s="193"/>
    </row>
    <row r="32" spans="1:7">
      <c r="A32" s="31"/>
      <c r="B32" s="31"/>
      <c r="C32" s="4"/>
      <c r="D32" s="4"/>
      <c r="E32" s="31"/>
      <c r="F32" s="31"/>
      <c r="G32" s="31"/>
    </row>
    <row r="33" spans="1:7">
      <c r="A33" s="194" t="s">
        <v>464</v>
      </c>
      <c r="B33" s="195"/>
      <c r="C33" s="195"/>
      <c r="D33" s="195"/>
      <c r="E33" s="195"/>
      <c r="F33" s="195"/>
      <c r="G33" s="196"/>
    </row>
    <row r="34" spans="1:7">
      <c r="A34" s="64" t="s">
        <v>1</v>
      </c>
      <c r="B34" s="23" t="s">
        <v>422</v>
      </c>
      <c r="C34" s="23" t="s">
        <v>423</v>
      </c>
      <c r="D34" s="23" t="s">
        <v>424</v>
      </c>
      <c r="E34" s="23" t="s">
        <v>425</v>
      </c>
      <c r="F34" s="23" t="s">
        <v>426</v>
      </c>
      <c r="G34" s="65" t="s">
        <v>427</v>
      </c>
    </row>
    <row r="35" spans="1:7">
      <c r="A35" s="197" t="s">
        <v>12</v>
      </c>
      <c r="B35" s="177" t="s">
        <v>439</v>
      </c>
      <c r="C35" s="53" t="s">
        <v>440</v>
      </c>
      <c r="D35" s="17" t="s">
        <v>429</v>
      </c>
      <c r="E35" s="18">
        <v>4</v>
      </c>
      <c r="F35" s="177" t="s">
        <v>441</v>
      </c>
      <c r="G35" s="192">
        <f>'Sprint Backlog - 27-06-25'!$G$10*4</f>
        <v>8</v>
      </c>
    </row>
    <row r="36" spans="1:7" ht="27.75">
      <c r="A36" s="197"/>
      <c r="B36" s="177"/>
      <c r="C36" s="57" t="s">
        <v>442</v>
      </c>
      <c r="D36" s="17" t="s">
        <v>432</v>
      </c>
      <c r="E36" s="18">
        <v>6</v>
      </c>
      <c r="F36" s="177"/>
      <c r="G36" s="192"/>
    </row>
    <row r="37" spans="1:7">
      <c r="A37" s="197"/>
      <c r="B37" s="177"/>
      <c r="C37" s="17"/>
      <c r="D37" s="17" t="s">
        <v>434</v>
      </c>
      <c r="E37" s="18"/>
      <c r="F37" s="177"/>
      <c r="G37" s="192"/>
    </row>
    <row r="38" spans="1:7">
      <c r="A38" s="197"/>
      <c r="B38" s="177"/>
      <c r="C38" s="53" t="s">
        <v>443</v>
      </c>
      <c r="D38" s="17" t="s">
        <v>436</v>
      </c>
      <c r="E38" s="18">
        <v>1</v>
      </c>
      <c r="F38" s="177"/>
      <c r="G38" s="192"/>
    </row>
    <row r="39" spans="1:7">
      <c r="A39" s="197"/>
      <c r="B39" s="177"/>
      <c r="C39" s="53" t="s">
        <v>444</v>
      </c>
      <c r="D39" s="17" t="s">
        <v>438</v>
      </c>
      <c r="E39" s="18">
        <v>1</v>
      </c>
      <c r="F39" s="177"/>
      <c r="G39" s="192"/>
    </row>
    <row r="40" spans="1:7">
      <c r="A40" s="197" t="s">
        <v>16</v>
      </c>
      <c r="B40" s="177" t="s">
        <v>445</v>
      </c>
      <c r="C40" s="23" t="s">
        <v>423</v>
      </c>
      <c r="D40" s="23" t="s">
        <v>424</v>
      </c>
      <c r="E40" s="23" t="s">
        <v>425</v>
      </c>
      <c r="F40" s="23" t="s">
        <v>426</v>
      </c>
      <c r="G40" s="65" t="s">
        <v>427</v>
      </c>
    </row>
    <row r="41" spans="1:7">
      <c r="A41" s="197"/>
      <c r="B41" s="177"/>
      <c r="C41" s="53" t="s">
        <v>446</v>
      </c>
      <c r="D41" s="17" t="s">
        <v>429</v>
      </c>
      <c r="E41" s="18">
        <v>2</v>
      </c>
      <c r="F41" s="177" t="s">
        <v>447</v>
      </c>
      <c r="G41" s="192">
        <f>'Sprint Backlog - 27-06-25'!$G$11*4</f>
        <v>20</v>
      </c>
    </row>
    <row r="42" spans="1:7">
      <c r="A42" s="197"/>
      <c r="B42" s="177"/>
      <c r="C42" s="53" t="s">
        <v>448</v>
      </c>
      <c r="D42" s="17" t="s">
        <v>432</v>
      </c>
      <c r="E42" s="18">
        <v>3</v>
      </c>
      <c r="F42" s="177"/>
      <c r="G42" s="192"/>
    </row>
    <row r="43" spans="1:7">
      <c r="A43" s="197"/>
      <c r="B43" s="177"/>
      <c r="C43" s="53" t="s">
        <v>449</v>
      </c>
      <c r="D43" s="17" t="s">
        <v>434</v>
      </c>
      <c r="E43" s="18">
        <v>5</v>
      </c>
      <c r="F43" s="177"/>
      <c r="G43" s="192"/>
    </row>
    <row r="44" spans="1:7">
      <c r="A44" s="197"/>
      <c r="B44" s="177"/>
      <c r="C44" s="53" t="s">
        <v>450</v>
      </c>
      <c r="D44" s="17" t="s">
        <v>436</v>
      </c>
      <c r="E44" s="18">
        <v>1</v>
      </c>
      <c r="F44" s="177"/>
      <c r="G44" s="192"/>
    </row>
    <row r="45" spans="1:7">
      <c r="A45" s="197"/>
      <c r="B45" s="177"/>
      <c r="C45" s="53" t="s">
        <v>451</v>
      </c>
      <c r="D45" s="17" t="s">
        <v>438</v>
      </c>
      <c r="E45" s="18">
        <v>1</v>
      </c>
      <c r="F45" s="177"/>
      <c r="G45" s="192"/>
    </row>
    <row r="46" spans="1:7">
      <c r="A46" s="197" t="s">
        <v>181</v>
      </c>
      <c r="B46" s="177" t="s">
        <v>182</v>
      </c>
      <c r="C46" s="23" t="s">
        <v>423</v>
      </c>
      <c r="D46" s="23" t="s">
        <v>424</v>
      </c>
      <c r="E46" s="23" t="s">
        <v>425</v>
      </c>
      <c r="F46" s="23" t="s">
        <v>426</v>
      </c>
      <c r="G46" s="65" t="s">
        <v>427</v>
      </c>
    </row>
    <row r="47" spans="1:7">
      <c r="A47" s="197"/>
      <c r="B47" s="177"/>
      <c r="C47" s="17" t="s">
        <v>685</v>
      </c>
      <c r="D47" s="17" t="s">
        <v>429</v>
      </c>
      <c r="E47" s="18">
        <v>1</v>
      </c>
      <c r="F47" s="177" t="s">
        <v>686</v>
      </c>
      <c r="G47" s="192">
        <f>'Sprint Backlog - 27-06-25'!$G$12*4</f>
        <v>20</v>
      </c>
    </row>
    <row r="48" spans="1:7">
      <c r="A48" s="197"/>
      <c r="B48" s="177"/>
      <c r="C48" s="17" t="s">
        <v>687</v>
      </c>
      <c r="D48" s="17" t="s">
        <v>432</v>
      </c>
      <c r="E48" s="18">
        <v>8</v>
      </c>
      <c r="F48" s="177"/>
      <c r="G48" s="192"/>
    </row>
    <row r="49" spans="1:7">
      <c r="A49" s="197"/>
      <c r="B49" s="177"/>
      <c r="C49" s="106" t="s">
        <v>688</v>
      </c>
      <c r="D49" s="17" t="s">
        <v>434</v>
      </c>
      <c r="E49" s="18">
        <v>8</v>
      </c>
      <c r="F49" s="177"/>
      <c r="G49" s="192"/>
    </row>
    <row r="50" spans="1:7">
      <c r="A50" s="197"/>
      <c r="B50" s="177"/>
      <c r="C50" s="17" t="s">
        <v>689</v>
      </c>
      <c r="D50" s="17" t="s">
        <v>436</v>
      </c>
      <c r="E50" s="18">
        <v>2</v>
      </c>
      <c r="F50" s="177"/>
      <c r="G50" s="192"/>
    </row>
    <row r="51" spans="1:7">
      <c r="A51" s="197"/>
      <c r="B51" s="177"/>
      <c r="C51" s="17" t="s">
        <v>690</v>
      </c>
      <c r="D51" s="17" t="s">
        <v>438</v>
      </c>
      <c r="E51" s="18">
        <v>1</v>
      </c>
      <c r="F51" s="177"/>
      <c r="G51" s="192"/>
    </row>
    <row r="52" spans="1:7">
      <c r="A52" s="197" t="s">
        <v>185</v>
      </c>
      <c r="B52" s="177" t="s">
        <v>186</v>
      </c>
      <c r="C52" s="23" t="s">
        <v>423</v>
      </c>
      <c r="D52" s="23" t="s">
        <v>424</v>
      </c>
      <c r="E52" s="23" t="s">
        <v>425</v>
      </c>
      <c r="F52" s="23" t="s">
        <v>426</v>
      </c>
      <c r="G52" s="65" t="s">
        <v>427</v>
      </c>
    </row>
    <row r="53" spans="1:7">
      <c r="A53" s="197"/>
      <c r="B53" s="177"/>
      <c r="C53" s="17"/>
      <c r="D53" s="17" t="s">
        <v>429</v>
      </c>
      <c r="E53" s="18"/>
      <c r="F53" s="177" t="s">
        <v>691</v>
      </c>
      <c r="G53" s="192">
        <f>'Sprint Backlog - 27-06-25'!$G$13*4</f>
        <v>12</v>
      </c>
    </row>
    <row r="54" spans="1:7">
      <c r="A54" s="197"/>
      <c r="B54" s="177"/>
      <c r="C54" s="17" t="s">
        <v>692</v>
      </c>
      <c r="D54" s="17" t="s">
        <v>432</v>
      </c>
      <c r="E54" s="18">
        <v>3</v>
      </c>
      <c r="F54" s="177"/>
      <c r="G54" s="192"/>
    </row>
    <row r="55" spans="1:7" ht="27.75">
      <c r="A55" s="197"/>
      <c r="B55" s="177"/>
      <c r="C55" s="17" t="s">
        <v>693</v>
      </c>
      <c r="D55" s="17" t="s">
        <v>434</v>
      </c>
      <c r="E55" s="18">
        <v>2</v>
      </c>
      <c r="F55" s="177"/>
      <c r="G55" s="192"/>
    </row>
    <row r="56" spans="1:7">
      <c r="A56" s="197"/>
      <c r="B56" s="177"/>
      <c r="C56" s="17" t="s">
        <v>694</v>
      </c>
      <c r="D56" s="17" t="s">
        <v>436</v>
      </c>
      <c r="E56" s="18">
        <v>1</v>
      </c>
      <c r="F56" s="177"/>
      <c r="G56" s="192"/>
    </row>
    <row r="57" spans="1:7">
      <c r="A57" s="197"/>
      <c r="B57" s="177"/>
      <c r="C57" s="17" t="s">
        <v>695</v>
      </c>
      <c r="D57" s="17" t="s">
        <v>438</v>
      </c>
      <c r="E57" s="18">
        <v>1</v>
      </c>
      <c r="F57" s="177"/>
      <c r="G57" s="192"/>
    </row>
    <row r="58" spans="1:7">
      <c r="A58" s="197" t="s">
        <v>159</v>
      </c>
      <c r="B58" s="177" t="s">
        <v>160</v>
      </c>
      <c r="C58" s="23" t="s">
        <v>423</v>
      </c>
      <c r="D58" s="23" t="s">
        <v>424</v>
      </c>
      <c r="E58" s="23" t="s">
        <v>425</v>
      </c>
      <c r="F58" s="23" t="s">
        <v>426</v>
      </c>
      <c r="G58" s="65" t="s">
        <v>427</v>
      </c>
    </row>
    <row r="59" spans="1:7">
      <c r="A59" s="197"/>
      <c r="B59" s="177"/>
      <c r="C59" s="17" t="s">
        <v>647</v>
      </c>
      <c r="D59" s="17" t="s">
        <v>429</v>
      </c>
      <c r="E59" s="18">
        <v>9</v>
      </c>
      <c r="F59" s="177" t="s">
        <v>648</v>
      </c>
      <c r="G59" s="192">
        <f>'Sprint Backlog - 27-06-25'!$G$14*4</f>
        <v>20</v>
      </c>
    </row>
    <row r="60" spans="1:7">
      <c r="A60" s="197"/>
      <c r="B60" s="177"/>
      <c r="C60" s="17" t="s">
        <v>649</v>
      </c>
      <c r="D60" s="17" t="s">
        <v>432</v>
      </c>
      <c r="E60" s="18">
        <v>7</v>
      </c>
      <c r="F60" s="177"/>
      <c r="G60" s="192"/>
    </row>
    <row r="61" spans="1:7">
      <c r="A61" s="197"/>
      <c r="B61" s="177"/>
      <c r="C61" s="17" t="s">
        <v>650</v>
      </c>
      <c r="D61" s="17" t="s">
        <v>434</v>
      </c>
      <c r="E61" s="18">
        <v>9</v>
      </c>
      <c r="F61" s="177"/>
      <c r="G61" s="192"/>
    </row>
    <row r="62" spans="1:7">
      <c r="A62" s="197"/>
      <c r="B62" s="177"/>
      <c r="C62" s="17" t="s">
        <v>651</v>
      </c>
      <c r="D62" s="17" t="s">
        <v>436</v>
      </c>
      <c r="E62" s="18">
        <v>1</v>
      </c>
      <c r="F62" s="177"/>
      <c r="G62" s="192"/>
    </row>
    <row r="63" spans="1:7">
      <c r="A63" s="198"/>
      <c r="B63" s="201"/>
      <c r="C63" s="67" t="s">
        <v>652</v>
      </c>
      <c r="D63" s="67" t="s">
        <v>438</v>
      </c>
      <c r="E63" s="66">
        <v>1</v>
      </c>
      <c r="F63" s="201"/>
      <c r="G63" s="193"/>
    </row>
    <row r="65" spans="1:7">
      <c r="A65" s="194" t="s">
        <v>493</v>
      </c>
      <c r="B65" s="195"/>
      <c r="C65" s="195"/>
      <c r="D65" s="195"/>
      <c r="E65" s="195"/>
      <c r="F65" s="195"/>
      <c r="G65" s="196"/>
    </row>
    <row r="66" spans="1:7">
      <c r="A66" s="64" t="s">
        <v>1</v>
      </c>
      <c r="B66" s="23" t="s">
        <v>422</v>
      </c>
      <c r="C66" s="23" t="s">
        <v>423</v>
      </c>
      <c r="D66" s="23" t="s">
        <v>424</v>
      </c>
      <c r="E66" s="23" t="s">
        <v>425</v>
      </c>
      <c r="F66" s="23" t="s">
        <v>426</v>
      </c>
      <c r="G66" s="65" t="s">
        <v>427</v>
      </c>
    </row>
    <row r="67" spans="1:7">
      <c r="A67" s="197" t="s">
        <v>226</v>
      </c>
      <c r="B67" s="199" t="s">
        <v>227</v>
      </c>
      <c r="C67" s="17" t="s">
        <v>742</v>
      </c>
      <c r="D67" s="17" t="s">
        <v>429</v>
      </c>
      <c r="E67" s="18">
        <v>1</v>
      </c>
      <c r="F67" s="177" t="s">
        <v>743</v>
      </c>
      <c r="G67" s="192">
        <f>'Sprint Backlog - 27-06-25'!$G$18*4</f>
        <v>12</v>
      </c>
    </row>
    <row r="68" spans="1:7">
      <c r="A68" s="197"/>
      <c r="B68" s="199"/>
      <c r="C68" s="17" t="s">
        <v>744</v>
      </c>
      <c r="D68" s="17" t="s">
        <v>432</v>
      </c>
      <c r="E68" s="18">
        <v>1</v>
      </c>
      <c r="F68" s="177"/>
      <c r="G68" s="192"/>
    </row>
    <row r="69" spans="1:7" ht="27.75">
      <c r="A69" s="197"/>
      <c r="B69" s="199"/>
      <c r="C69" s="17" t="s">
        <v>745</v>
      </c>
      <c r="D69" s="17" t="s">
        <v>434</v>
      </c>
      <c r="E69" s="18">
        <v>7</v>
      </c>
      <c r="F69" s="177"/>
      <c r="G69" s="192"/>
    </row>
    <row r="70" spans="1:7">
      <c r="A70" s="197"/>
      <c r="B70" s="199"/>
      <c r="C70" s="17" t="s">
        <v>498</v>
      </c>
      <c r="D70" s="17" t="s">
        <v>436</v>
      </c>
      <c r="E70" s="18">
        <v>1</v>
      </c>
      <c r="F70" s="177"/>
      <c r="G70" s="192"/>
    </row>
    <row r="71" spans="1:7">
      <c r="A71" s="197"/>
      <c r="B71" s="199"/>
      <c r="C71" s="17" t="s">
        <v>499</v>
      </c>
      <c r="D71" s="17" t="s">
        <v>438</v>
      </c>
      <c r="E71" s="18">
        <v>2</v>
      </c>
      <c r="F71" s="177"/>
      <c r="G71" s="192"/>
    </row>
    <row r="72" spans="1:7">
      <c r="A72" s="197" t="s">
        <v>249</v>
      </c>
      <c r="B72" s="177" t="s">
        <v>250</v>
      </c>
      <c r="C72" s="23" t="s">
        <v>423</v>
      </c>
      <c r="D72" s="23" t="s">
        <v>424</v>
      </c>
      <c r="E72" s="23" t="s">
        <v>425</v>
      </c>
      <c r="F72" s="23" t="s">
        <v>426</v>
      </c>
      <c r="G72" s="65" t="s">
        <v>427</v>
      </c>
    </row>
    <row r="73" spans="1:7">
      <c r="A73" s="197"/>
      <c r="B73" s="177"/>
      <c r="C73" s="53" t="s">
        <v>584</v>
      </c>
      <c r="D73" s="17" t="s">
        <v>429</v>
      </c>
      <c r="E73" s="18">
        <v>1</v>
      </c>
      <c r="F73" s="177" t="s">
        <v>585</v>
      </c>
      <c r="G73" s="192">
        <f>'Sprint Backlog - 27-06-25'!$G$19*4</f>
        <v>20</v>
      </c>
    </row>
    <row r="74" spans="1:7">
      <c r="A74" s="197"/>
      <c r="B74" s="177"/>
      <c r="C74" s="17" t="s">
        <v>586</v>
      </c>
      <c r="D74" s="17" t="s">
        <v>432</v>
      </c>
      <c r="E74" s="18">
        <v>7</v>
      </c>
      <c r="F74" s="177"/>
      <c r="G74" s="192"/>
    </row>
    <row r="75" spans="1:7">
      <c r="A75" s="197"/>
      <c r="B75" s="177"/>
      <c r="C75" s="17" t="s">
        <v>587</v>
      </c>
      <c r="D75" s="17" t="s">
        <v>434</v>
      </c>
      <c r="E75" s="18">
        <v>9</v>
      </c>
      <c r="F75" s="177"/>
      <c r="G75" s="192"/>
    </row>
    <row r="76" spans="1:7">
      <c r="A76" s="197"/>
      <c r="B76" s="177"/>
      <c r="C76" s="17" t="s">
        <v>588</v>
      </c>
      <c r="D76" s="17" t="s">
        <v>436</v>
      </c>
      <c r="E76" s="18">
        <v>2</v>
      </c>
      <c r="F76" s="177"/>
      <c r="G76" s="192"/>
    </row>
    <row r="77" spans="1:7">
      <c r="A77" s="197"/>
      <c r="B77" s="177"/>
      <c r="C77" s="17" t="s">
        <v>589</v>
      </c>
      <c r="D77" s="17" t="s">
        <v>438</v>
      </c>
      <c r="E77" s="18">
        <v>1</v>
      </c>
      <c r="F77" s="177"/>
      <c r="G77" s="192"/>
    </row>
    <row r="78" spans="1:7">
      <c r="A78" s="213" t="s">
        <v>79</v>
      </c>
      <c r="B78" s="214" t="s">
        <v>80</v>
      </c>
      <c r="C78" s="159" t="s">
        <v>423</v>
      </c>
      <c r="D78" s="159" t="s">
        <v>424</v>
      </c>
      <c r="E78" s="159" t="s">
        <v>425</v>
      </c>
      <c r="F78" s="159" t="s">
        <v>426</v>
      </c>
      <c r="G78" s="160" t="s">
        <v>427</v>
      </c>
    </row>
    <row r="79" spans="1:7">
      <c r="A79" s="213"/>
      <c r="B79" s="214"/>
      <c r="C79" s="158" t="s">
        <v>526</v>
      </c>
      <c r="D79" s="158" t="s">
        <v>429</v>
      </c>
      <c r="E79" s="30">
        <v>2</v>
      </c>
      <c r="F79" s="215" t="s">
        <v>527</v>
      </c>
      <c r="G79" s="216">
        <f>'Sprint Backlog - 27-06-25'!$G$20*4</f>
        <v>12</v>
      </c>
    </row>
    <row r="80" spans="1:7">
      <c r="A80" s="213"/>
      <c r="B80" s="214"/>
      <c r="C80" s="158" t="s">
        <v>528</v>
      </c>
      <c r="D80" s="158" t="s">
        <v>432</v>
      </c>
      <c r="E80" s="30">
        <v>4</v>
      </c>
      <c r="F80" s="215"/>
      <c r="G80" s="216"/>
    </row>
    <row r="81" spans="1:7">
      <c r="A81" s="213"/>
      <c r="B81" s="214"/>
      <c r="C81" s="158" t="s">
        <v>529</v>
      </c>
      <c r="D81" s="158" t="s">
        <v>434</v>
      </c>
      <c r="E81" s="30">
        <v>3</v>
      </c>
      <c r="F81" s="215"/>
      <c r="G81" s="216"/>
    </row>
    <row r="82" spans="1:7">
      <c r="A82" s="213"/>
      <c r="B82" s="214"/>
      <c r="C82" s="158" t="s">
        <v>530</v>
      </c>
      <c r="D82" s="158" t="s">
        <v>436</v>
      </c>
      <c r="E82" s="30">
        <v>2</v>
      </c>
      <c r="F82" s="215"/>
      <c r="G82" s="216"/>
    </row>
    <row r="83" spans="1:7">
      <c r="A83" s="213"/>
      <c r="B83" s="214"/>
      <c r="C83" s="158" t="s">
        <v>531</v>
      </c>
      <c r="D83" s="158" t="s">
        <v>438</v>
      </c>
      <c r="E83" s="30">
        <v>1</v>
      </c>
      <c r="F83" s="215"/>
      <c r="G83" s="216"/>
    </row>
    <row r="84" spans="1:7">
      <c r="A84" s="197" t="s">
        <v>83</v>
      </c>
      <c r="B84" s="177" t="s">
        <v>84</v>
      </c>
      <c r="C84" s="23" t="s">
        <v>423</v>
      </c>
      <c r="D84" s="23" t="s">
        <v>424</v>
      </c>
      <c r="E84" s="23" t="s">
        <v>425</v>
      </c>
      <c r="F84" s="23" t="s">
        <v>426</v>
      </c>
      <c r="G84" s="65" t="s">
        <v>427</v>
      </c>
    </row>
    <row r="85" spans="1:7">
      <c r="A85" s="197"/>
      <c r="B85" s="177"/>
      <c r="C85" s="17" t="s">
        <v>532</v>
      </c>
      <c r="D85" s="17" t="s">
        <v>429</v>
      </c>
      <c r="E85" s="18">
        <v>2</v>
      </c>
      <c r="F85" s="177" t="s">
        <v>533</v>
      </c>
      <c r="G85" s="192">
        <f>'Sprint Backlog - 27-06-25'!$G$21*4</f>
        <v>20</v>
      </c>
    </row>
    <row r="86" spans="1:7">
      <c r="A86" s="197"/>
      <c r="B86" s="177"/>
      <c r="C86" s="17" t="s">
        <v>534</v>
      </c>
      <c r="D86" s="17" t="s">
        <v>432</v>
      </c>
      <c r="E86" s="18">
        <v>6</v>
      </c>
      <c r="F86" s="177"/>
      <c r="G86" s="192"/>
    </row>
    <row r="87" spans="1:7">
      <c r="A87" s="197"/>
      <c r="B87" s="177"/>
      <c r="C87" s="58" t="s">
        <v>535</v>
      </c>
      <c r="D87" s="17" t="s">
        <v>434</v>
      </c>
      <c r="E87" s="18">
        <v>9</v>
      </c>
      <c r="F87" s="177"/>
      <c r="G87" s="192"/>
    </row>
    <row r="88" spans="1:7">
      <c r="A88" s="197"/>
      <c r="B88" s="177"/>
      <c r="C88" s="58" t="s">
        <v>536</v>
      </c>
      <c r="D88" s="17" t="s">
        <v>436</v>
      </c>
      <c r="E88" s="18">
        <v>1</v>
      </c>
      <c r="F88" s="177"/>
      <c r="G88" s="192"/>
    </row>
    <row r="89" spans="1:7">
      <c r="A89" s="197"/>
      <c r="B89" s="177"/>
      <c r="C89" s="17" t="s">
        <v>537</v>
      </c>
      <c r="D89" s="17" t="s">
        <v>438</v>
      </c>
      <c r="E89" s="18">
        <v>1</v>
      </c>
      <c r="F89" s="177"/>
      <c r="G89" s="192"/>
    </row>
    <row r="90" spans="1:7">
      <c r="A90" s="197" t="s">
        <v>87</v>
      </c>
      <c r="B90" s="177" t="s">
        <v>88</v>
      </c>
      <c r="C90" s="23" t="s">
        <v>423</v>
      </c>
      <c r="D90" s="23" t="s">
        <v>424</v>
      </c>
      <c r="E90" s="23" t="s">
        <v>425</v>
      </c>
      <c r="F90" s="23" t="s">
        <v>426</v>
      </c>
      <c r="G90" s="65" t="s">
        <v>427</v>
      </c>
    </row>
    <row r="91" spans="1:7">
      <c r="A91" s="197"/>
      <c r="B91" s="177"/>
      <c r="C91" s="17" t="s">
        <v>538</v>
      </c>
      <c r="D91" s="17" t="s">
        <v>429</v>
      </c>
      <c r="E91" s="18">
        <v>1</v>
      </c>
      <c r="F91" s="177" t="s">
        <v>539</v>
      </c>
      <c r="G91" s="192">
        <f>'Sprint Backlog - 27-06-25'!$G$22*4</f>
        <v>12</v>
      </c>
    </row>
    <row r="92" spans="1:7">
      <c r="A92" s="197"/>
      <c r="B92" s="177"/>
      <c r="C92" s="17" t="s">
        <v>540</v>
      </c>
      <c r="D92" s="17" t="s">
        <v>432</v>
      </c>
      <c r="E92" s="18">
        <v>3</v>
      </c>
      <c r="F92" s="177"/>
      <c r="G92" s="192"/>
    </row>
    <row r="93" spans="1:7">
      <c r="A93" s="197"/>
      <c r="B93" s="177"/>
      <c r="C93" s="17" t="s">
        <v>541</v>
      </c>
      <c r="D93" s="17" t="s">
        <v>434</v>
      </c>
      <c r="E93" s="18">
        <v>6</v>
      </c>
      <c r="F93" s="177"/>
      <c r="G93" s="192"/>
    </row>
    <row r="94" spans="1:7">
      <c r="A94" s="197"/>
      <c r="B94" s="177"/>
      <c r="C94" s="17" t="s">
        <v>542</v>
      </c>
      <c r="D94" s="17" t="s">
        <v>436</v>
      </c>
      <c r="E94" s="18">
        <v>1</v>
      </c>
      <c r="F94" s="177"/>
      <c r="G94" s="192"/>
    </row>
    <row r="95" spans="1:7">
      <c r="A95" s="197"/>
      <c r="B95" s="177"/>
      <c r="C95" s="17" t="s">
        <v>543</v>
      </c>
      <c r="D95" s="17" t="s">
        <v>438</v>
      </c>
      <c r="E95" s="18">
        <v>1</v>
      </c>
      <c r="F95" s="177"/>
      <c r="G95" s="192"/>
    </row>
    <row r="96" spans="1:7">
      <c r="A96" s="197" t="s">
        <v>266</v>
      </c>
      <c r="B96" s="199" t="s">
        <v>765</v>
      </c>
      <c r="C96" s="23" t="s">
        <v>423</v>
      </c>
      <c r="D96" s="23" t="s">
        <v>424</v>
      </c>
      <c r="E96" s="23" t="s">
        <v>425</v>
      </c>
      <c r="F96" s="23" t="s">
        <v>426</v>
      </c>
      <c r="G96" s="65" t="s">
        <v>427</v>
      </c>
    </row>
    <row r="97" spans="1:7">
      <c r="A97" s="197"/>
      <c r="B97" s="199"/>
      <c r="C97" s="17" t="s">
        <v>766</v>
      </c>
      <c r="D97" s="17" t="s">
        <v>429</v>
      </c>
      <c r="E97" s="18">
        <v>3</v>
      </c>
      <c r="F97" s="177" t="s">
        <v>484</v>
      </c>
      <c r="G97" s="192">
        <f>'Sprint Backlog - 27-06-25'!$G$23*4</f>
        <v>8</v>
      </c>
    </row>
    <row r="98" spans="1:7">
      <c r="A98" s="197"/>
      <c r="B98" s="199"/>
      <c r="C98" s="53" t="s">
        <v>767</v>
      </c>
      <c r="D98" s="17" t="s">
        <v>432</v>
      </c>
      <c r="E98" s="18">
        <v>4</v>
      </c>
      <c r="F98" s="177"/>
      <c r="G98" s="192"/>
    </row>
    <row r="99" spans="1:7">
      <c r="A99" s="197"/>
      <c r="B99" s="199"/>
      <c r="C99" s="53" t="s">
        <v>768</v>
      </c>
      <c r="D99" s="17" t="s">
        <v>434</v>
      </c>
      <c r="E99" s="18">
        <v>8</v>
      </c>
      <c r="F99" s="177"/>
      <c r="G99" s="192"/>
    </row>
    <row r="100" spans="1:7">
      <c r="A100" s="197"/>
      <c r="B100" s="199"/>
      <c r="C100" s="53" t="s">
        <v>769</v>
      </c>
      <c r="D100" s="17" t="s">
        <v>436</v>
      </c>
      <c r="E100" s="18">
        <v>1</v>
      </c>
      <c r="F100" s="177"/>
      <c r="G100" s="192"/>
    </row>
    <row r="101" spans="1:7">
      <c r="A101" s="198"/>
      <c r="B101" s="200"/>
      <c r="C101" s="148" t="s">
        <v>770</v>
      </c>
      <c r="D101" s="67" t="s">
        <v>438</v>
      </c>
      <c r="E101" s="66">
        <v>2</v>
      </c>
      <c r="F101" s="201"/>
      <c r="G101" s="192"/>
    </row>
    <row r="103" spans="1:7">
      <c r="A103" s="194" t="s">
        <v>525</v>
      </c>
      <c r="B103" s="195"/>
      <c r="C103" s="195"/>
      <c r="D103" s="195"/>
      <c r="E103" s="195"/>
      <c r="F103" s="195"/>
      <c r="G103" s="196"/>
    </row>
    <row r="104" spans="1:7" ht="15" customHeight="1">
      <c r="A104" s="64" t="s">
        <v>1</v>
      </c>
      <c r="B104" s="23" t="s">
        <v>422</v>
      </c>
      <c r="C104" s="23" t="s">
        <v>423</v>
      </c>
      <c r="D104" s="23" t="s">
        <v>424</v>
      </c>
      <c r="E104" s="23" t="s">
        <v>425</v>
      </c>
      <c r="F104" s="23" t="s">
        <v>426</v>
      </c>
      <c r="G104" s="65" t="s">
        <v>427</v>
      </c>
    </row>
    <row r="105" spans="1:7" ht="15" customHeight="1">
      <c r="A105" s="197" t="s">
        <v>44</v>
      </c>
      <c r="B105" s="210" t="s">
        <v>45</v>
      </c>
      <c r="C105" s="17" t="s">
        <v>483</v>
      </c>
      <c r="D105" s="17" t="s">
        <v>429</v>
      </c>
      <c r="E105" s="18">
        <v>2</v>
      </c>
      <c r="F105" s="177" t="s">
        <v>484</v>
      </c>
      <c r="G105" s="192">
        <f>'Sprint Backlog - 27-06-25'!$G$23*4</f>
        <v>8</v>
      </c>
    </row>
    <row r="106" spans="1:7" ht="15" customHeight="1">
      <c r="A106" s="197"/>
      <c r="B106" s="211"/>
      <c r="C106" s="17" t="s">
        <v>485</v>
      </c>
      <c r="D106" s="17" t="s">
        <v>432</v>
      </c>
      <c r="E106" s="18">
        <v>4</v>
      </c>
      <c r="F106" s="177"/>
      <c r="G106" s="192"/>
    </row>
    <row r="107" spans="1:7">
      <c r="A107" s="197"/>
      <c r="B107" s="211"/>
      <c r="C107" s="17"/>
      <c r="D107" s="17" t="s">
        <v>434</v>
      </c>
      <c r="E107" s="18"/>
      <c r="F107" s="177"/>
      <c r="G107" s="192"/>
    </row>
    <row r="108" spans="1:7">
      <c r="A108" s="197"/>
      <c r="B108" s="211"/>
      <c r="C108" s="17" t="s">
        <v>486</v>
      </c>
      <c r="D108" s="17" t="s">
        <v>436</v>
      </c>
      <c r="E108" s="18">
        <v>1</v>
      </c>
      <c r="F108" s="177"/>
      <c r="G108" s="192"/>
    </row>
    <row r="109" spans="1:7">
      <c r="A109" s="197"/>
      <c r="B109" s="212"/>
      <c r="C109" s="149" t="s">
        <v>45</v>
      </c>
      <c r="D109" s="17" t="s">
        <v>438</v>
      </c>
      <c r="E109" s="18">
        <v>1</v>
      </c>
      <c r="F109" s="177"/>
      <c r="G109" s="192"/>
    </row>
    <row r="110" spans="1:7" ht="15" customHeight="1">
      <c r="A110" s="197" t="s">
        <v>35</v>
      </c>
      <c r="B110" s="177" t="s">
        <v>36</v>
      </c>
      <c r="C110" s="23" t="s">
        <v>423</v>
      </c>
      <c r="D110" s="23" t="s">
        <v>424</v>
      </c>
      <c r="E110" s="23" t="s">
        <v>425</v>
      </c>
      <c r="F110" s="23" t="s">
        <v>426</v>
      </c>
      <c r="G110" s="65" t="s">
        <v>427</v>
      </c>
    </row>
    <row r="111" spans="1:7" ht="15" customHeight="1">
      <c r="A111" s="197"/>
      <c r="B111" s="177"/>
      <c r="C111" s="17" t="s">
        <v>471</v>
      </c>
      <c r="D111" s="17" t="s">
        <v>429</v>
      </c>
      <c r="E111" s="18">
        <v>2</v>
      </c>
      <c r="F111" s="177" t="s">
        <v>472</v>
      </c>
      <c r="G111" s="192">
        <f>'Sprint Backlog - 27-06-25'!$G$27*4</f>
        <v>20</v>
      </c>
    </row>
    <row r="112" spans="1:7" ht="15" customHeight="1">
      <c r="A112" s="197"/>
      <c r="B112" s="177"/>
      <c r="C112" s="17" t="s">
        <v>473</v>
      </c>
      <c r="D112" s="17" t="s">
        <v>432</v>
      </c>
      <c r="E112" s="18">
        <v>5</v>
      </c>
      <c r="F112" s="177"/>
      <c r="G112" s="192"/>
    </row>
    <row r="113" spans="1:7" ht="15" customHeight="1">
      <c r="A113" s="197"/>
      <c r="B113" s="177"/>
      <c r="C113" s="17" t="s">
        <v>474</v>
      </c>
      <c r="D113" s="17" t="s">
        <v>434</v>
      </c>
      <c r="E113" s="18">
        <v>9</v>
      </c>
      <c r="F113" s="177"/>
      <c r="G113" s="192"/>
    </row>
    <row r="114" spans="1:7" ht="15" customHeight="1">
      <c r="A114" s="197"/>
      <c r="B114" s="177"/>
      <c r="C114" s="17" t="s">
        <v>475</v>
      </c>
      <c r="D114" s="17" t="s">
        <v>436</v>
      </c>
      <c r="E114" s="18">
        <v>3</v>
      </c>
      <c r="F114" s="177"/>
      <c r="G114" s="192"/>
    </row>
    <row r="115" spans="1:7" ht="15" customHeight="1">
      <c r="A115" s="197"/>
      <c r="B115" s="177"/>
      <c r="C115" s="17" t="s">
        <v>476</v>
      </c>
      <c r="D115" s="17" t="s">
        <v>438</v>
      </c>
      <c r="E115" s="18">
        <v>1</v>
      </c>
      <c r="F115" s="177"/>
      <c r="G115" s="192"/>
    </row>
    <row r="116" spans="1:7">
      <c r="A116" s="197" t="s">
        <v>200</v>
      </c>
      <c r="B116" s="177" t="s">
        <v>201</v>
      </c>
      <c r="C116" s="23" t="s">
        <v>423</v>
      </c>
      <c r="D116" s="23" t="s">
        <v>424</v>
      </c>
      <c r="E116" s="23" t="s">
        <v>425</v>
      </c>
      <c r="F116" s="23" t="s">
        <v>426</v>
      </c>
      <c r="G116" s="65" t="s">
        <v>427</v>
      </c>
    </row>
    <row r="117" spans="1:7">
      <c r="A117" s="197"/>
      <c r="B117" s="177"/>
      <c r="C117" s="17" t="s">
        <v>709</v>
      </c>
      <c r="D117" s="17" t="s">
        <v>429</v>
      </c>
      <c r="E117" s="18">
        <v>2</v>
      </c>
      <c r="F117" s="177" t="s">
        <v>710</v>
      </c>
      <c r="G117" s="192">
        <f>'Sprint Backlog - 27-06-25'!$G$28*4</f>
        <v>20</v>
      </c>
    </row>
    <row r="118" spans="1:7">
      <c r="A118" s="197"/>
      <c r="B118" s="177"/>
      <c r="C118" s="17" t="s">
        <v>711</v>
      </c>
      <c r="D118" s="17" t="s">
        <v>432</v>
      </c>
      <c r="E118" s="18">
        <v>20</v>
      </c>
      <c r="F118" s="177"/>
      <c r="G118" s="192"/>
    </row>
    <row r="119" spans="1:7">
      <c r="A119" s="197"/>
      <c r="B119" s="177"/>
      <c r="C119" s="17" t="s">
        <v>712</v>
      </c>
      <c r="D119" s="17" t="s">
        <v>434</v>
      </c>
      <c r="E119" s="18">
        <v>25</v>
      </c>
      <c r="F119" s="177"/>
      <c r="G119" s="192"/>
    </row>
    <row r="120" spans="1:7">
      <c r="A120" s="197"/>
      <c r="B120" s="177"/>
      <c r="C120" s="17" t="s">
        <v>713</v>
      </c>
      <c r="D120" s="17" t="s">
        <v>436</v>
      </c>
      <c r="E120" s="18">
        <v>3</v>
      </c>
      <c r="F120" s="177"/>
      <c r="G120" s="192"/>
    </row>
    <row r="121" spans="1:7">
      <c r="A121" s="197"/>
      <c r="B121" s="177"/>
      <c r="C121" s="17" t="s">
        <v>714</v>
      </c>
      <c r="D121" s="17" t="s">
        <v>438</v>
      </c>
      <c r="E121" s="18">
        <v>2</v>
      </c>
      <c r="F121" s="177"/>
      <c r="G121" s="192"/>
    </row>
    <row r="122" spans="1:7">
      <c r="A122" s="197" t="s">
        <v>25</v>
      </c>
      <c r="B122" s="199" t="s">
        <v>26</v>
      </c>
      <c r="C122" s="23" t="s">
        <v>423</v>
      </c>
      <c r="D122" s="23" t="s">
        <v>424</v>
      </c>
      <c r="E122" s="23" t="s">
        <v>425</v>
      </c>
      <c r="F122" s="23" t="s">
        <v>426</v>
      </c>
      <c r="G122" s="65" t="s">
        <v>427</v>
      </c>
    </row>
    <row r="123" spans="1:7">
      <c r="A123" s="197"/>
      <c r="B123" s="199"/>
      <c r="C123" s="17" t="s">
        <v>458</v>
      </c>
      <c r="D123" s="17" t="s">
        <v>429</v>
      </c>
      <c r="E123" s="18">
        <v>1</v>
      </c>
      <c r="F123" s="177" t="s">
        <v>459</v>
      </c>
      <c r="G123" s="192">
        <f>'Sprint Backlog - 27-06-25'!$G$29*4</f>
        <v>8</v>
      </c>
    </row>
    <row r="124" spans="1:7">
      <c r="A124" s="197"/>
      <c r="B124" s="199"/>
      <c r="C124" s="17" t="s">
        <v>460</v>
      </c>
      <c r="D124" s="17" t="s">
        <v>432</v>
      </c>
      <c r="E124" s="18">
        <v>2</v>
      </c>
      <c r="F124" s="177"/>
      <c r="G124" s="192"/>
    </row>
    <row r="125" spans="1:7">
      <c r="A125" s="197"/>
      <c r="B125" s="199"/>
      <c r="C125" s="17" t="s">
        <v>461</v>
      </c>
      <c r="D125" s="17" t="s">
        <v>434</v>
      </c>
      <c r="E125" s="18">
        <v>3</v>
      </c>
      <c r="F125" s="177"/>
      <c r="G125" s="192"/>
    </row>
    <row r="126" spans="1:7">
      <c r="A126" s="197"/>
      <c r="B126" s="199"/>
      <c r="C126" s="17" t="s">
        <v>462</v>
      </c>
      <c r="D126" s="17" t="s">
        <v>436</v>
      </c>
      <c r="E126" s="18">
        <v>1</v>
      </c>
      <c r="F126" s="177"/>
      <c r="G126" s="192"/>
    </row>
    <row r="127" spans="1:7">
      <c r="A127" s="197"/>
      <c r="B127" s="199"/>
      <c r="C127" s="17" t="s">
        <v>463</v>
      </c>
      <c r="D127" s="17" t="s">
        <v>438</v>
      </c>
      <c r="E127" s="18">
        <v>1</v>
      </c>
      <c r="F127" s="177"/>
      <c r="G127" s="192"/>
    </row>
    <row r="128" spans="1:7">
      <c r="A128" s="197" t="s">
        <v>20</v>
      </c>
      <c r="B128" s="177" t="s">
        <v>21</v>
      </c>
      <c r="C128" s="23" t="s">
        <v>423</v>
      </c>
      <c r="D128" s="23" t="s">
        <v>424</v>
      </c>
      <c r="E128" s="23" t="s">
        <v>425</v>
      </c>
      <c r="F128" s="23" t="s">
        <v>426</v>
      </c>
      <c r="G128" s="65" t="s">
        <v>427</v>
      </c>
    </row>
    <row r="129" spans="1:7">
      <c r="A129" s="197"/>
      <c r="B129" s="177"/>
      <c r="C129" s="17" t="s">
        <v>452</v>
      </c>
      <c r="D129" s="17" t="s">
        <v>429</v>
      </c>
      <c r="E129" s="18">
        <v>2</v>
      </c>
      <c r="F129" s="177" t="s">
        <v>453</v>
      </c>
      <c r="G129" s="192">
        <f>'Sprint Backlog - 27-06-25'!$G$30*4</f>
        <v>20</v>
      </c>
    </row>
    <row r="130" spans="1:7">
      <c r="A130" s="197"/>
      <c r="B130" s="177"/>
      <c r="C130" s="53" t="s">
        <v>454</v>
      </c>
      <c r="D130" s="55" t="s">
        <v>432</v>
      </c>
      <c r="E130" s="18">
        <v>6</v>
      </c>
      <c r="F130" s="177"/>
      <c r="G130" s="192"/>
    </row>
    <row r="131" spans="1:7">
      <c r="A131" s="197"/>
      <c r="B131" s="177"/>
      <c r="C131" s="53" t="s">
        <v>455</v>
      </c>
      <c r="D131" s="17" t="s">
        <v>434</v>
      </c>
      <c r="E131" s="18">
        <v>8</v>
      </c>
      <c r="F131" s="177"/>
      <c r="G131" s="192"/>
    </row>
    <row r="132" spans="1:7">
      <c r="A132" s="197"/>
      <c r="B132" s="177"/>
      <c r="C132" s="53" t="s">
        <v>456</v>
      </c>
      <c r="D132" s="17" t="s">
        <v>436</v>
      </c>
      <c r="E132" s="18">
        <v>3</v>
      </c>
      <c r="F132" s="177"/>
      <c r="G132" s="192"/>
    </row>
    <row r="133" spans="1:7">
      <c r="A133" s="197"/>
      <c r="B133" s="177"/>
      <c r="C133" s="17" t="s">
        <v>457</v>
      </c>
      <c r="D133" s="17" t="s">
        <v>438</v>
      </c>
      <c r="E133" s="18">
        <v>1</v>
      </c>
      <c r="F133" s="177"/>
      <c r="G133" s="192"/>
    </row>
    <row r="134" spans="1:7">
      <c r="A134" s="197" t="s">
        <v>120</v>
      </c>
      <c r="B134" s="177" t="s">
        <v>121</v>
      </c>
      <c r="C134" s="23" t="s">
        <v>423</v>
      </c>
      <c r="D134" s="23" t="s">
        <v>424</v>
      </c>
      <c r="E134" s="23" t="s">
        <v>425</v>
      </c>
      <c r="F134" s="23" t="s">
        <v>426</v>
      </c>
      <c r="G134" s="65" t="s">
        <v>427</v>
      </c>
    </row>
    <row r="135" spans="1:7">
      <c r="A135" s="197"/>
      <c r="B135" s="177"/>
      <c r="C135" s="17" t="s">
        <v>579</v>
      </c>
      <c r="D135" s="17" t="s">
        <v>429</v>
      </c>
      <c r="E135" s="18">
        <v>2</v>
      </c>
      <c r="F135" s="177" t="s">
        <v>580</v>
      </c>
      <c r="G135" s="192">
        <f>'Sprint Backlog - 27-06-25'!$G$31*4</f>
        <v>8</v>
      </c>
    </row>
    <row r="136" spans="1:7" ht="27.75">
      <c r="A136" s="197"/>
      <c r="B136" s="177"/>
      <c r="C136" s="17" t="s">
        <v>581</v>
      </c>
      <c r="D136" s="17" t="s">
        <v>432</v>
      </c>
      <c r="E136" s="18">
        <v>4</v>
      </c>
      <c r="F136" s="177"/>
      <c r="G136" s="192"/>
    </row>
    <row r="137" spans="1:7">
      <c r="A137" s="197"/>
      <c r="B137" s="177"/>
      <c r="C137" s="17"/>
      <c r="D137" s="17" t="s">
        <v>434</v>
      </c>
      <c r="E137" s="18"/>
      <c r="F137" s="177"/>
      <c r="G137" s="192"/>
    </row>
    <row r="138" spans="1:7">
      <c r="A138" s="197"/>
      <c r="B138" s="177"/>
      <c r="C138" s="17" t="s">
        <v>582</v>
      </c>
      <c r="D138" s="17" t="s">
        <v>436</v>
      </c>
      <c r="E138" s="18">
        <v>1</v>
      </c>
      <c r="F138" s="177"/>
      <c r="G138" s="192"/>
    </row>
    <row r="139" spans="1:7">
      <c r="A139" s="197"/>
      <c r="B139" s="177"/>
      <c r="C139" s="17" t="s">
        <v>583</v>
      </c>
      <c r="D139" s="17" t="s">
        <v>438</v>
      </c>
      <c r="E139" s="18">
        <v>1</v>
      </c>
      <c r="F139" s="177"/>
      <c r="G139" s="192"/>
    </row>
    <row r="140" spans="1:7">
      <c r="A140" s="197" t="s">
        <v>115</v>
      </c>
      <c r="B140" s="177" t="s">
        <v>116</v>
      </c>
      <c r="C140" s="23" t="s">
        <v>423</v>
      </c>
      <c r="D140" s="23" t="s">
        <v>424</v>
      </c>
      <c r="E140" s="23" t="s">
        <v>425</v>
      </c>
      <c r="F140" s="23" t="s">
        <v>426</v>
      </c>
      <c r="G140" s="65" t="s">
        <v>427</v>
      </c>
    </row>
    <row r="141" spans="1:7">
      <c r="A141" s="197"/>
      <c r="B141" s="177"/>
      <c r="C141" s="17" t="s">
        <v>573</v>
      </c>
      <c r="D141" s="17" t="s">
        <v>429</v>
      </c>
      <c r="E141" s="18">
        <v>1</v>
      </c>
      <c r="F141" s="177" t="s">
        <v>574</v>
      </c>
      <c r="G141" s="192">
        <f>'Sprint Backlog - 27-06-25'!$G$32*4</f>
        <v>8</v>
      </c>
    </row>
    <row r="142" spans="1:7">
      <c r="A142" s="197"/>
      <c r="B142" s="177"/>
      <c r="C142" s="17" t="s">
        <v>575</v>
      </c>
      <c r="D142" s="17" t="s">
        <v>432</v>
      </c>
      <c r="E142" s="18">
        <v>2</v>
      </c>
      <c r="F142" s="177"/>
      <c r="G142" s="192"/>
    </row>
    <row r="143" spans="1:7">
      <c r="A143" s="197"/>
      <c r="B143" s="177"/>
      <c r="C143" s="17" t="s">
        <v>576</v>
      </c>
      <c r="D143" s="17" t="s">
        <v>434</v>
      </c>
      <c r="E143" s="18">
        <v>3</v>
      </c>
      <c r="F143" s="177"/>
      <c r="G143" s="192"/>
    </row>
    <row r="144" spans="1:7">
      <c r="A144" s="197"/>
      <c r="B144" s="177"/>
      <c r="C144" s="17" t="s">
        <v>577</v>
      </c>
      <c r="D144" s="17" t="s">
        <v>436</v>
      </c>
      <c r="E144" s="18">
        <v>1</v>
      </c>
      <c r="F144" s="177"/>
      <c r="G144" s="192"/>
    </row>
    <row r="145" spans="1:7">
      <c r="A145" s="198"/>
      <c r="B145" s="201"/>
      <c r="C145" s="67" t="s">
        <v>578</v>
      </c>
      <c r="D145" s="67" t="s">
        <v>438</v>
      </c>
      <c r="E145" s="66">
        <v>1</v>
      </c>
      <c r="F145" s="201"/>
      <c r="G145" s="193"/>
    </row>
    <row r="147" spans="1:7">
      <c r="A147" s="194" t="s">
        <v>556</v>
      </c>
      <c r="B147" s="195"/>
      <c r="C147" s="195"/>
      <c r="D147" s="195"/>
      <c r="E147" s="195"/>
      <c r="F147" s="195"/>
      <c r="G147" s="196"/>
    </row>
    <row r="148" spans="1:7">
      <c r="A148" s="64" t="s">
        <v>1</v>
      </c>
      <c r="B148" s="23" t="s">
        <v>422</v>
      </c>
      <c r="C148" s="23" t="s">
        <v>423</v>
      </c>
      <c r="D148" s="23" t="s">
        <v>424</v>
      </c>
      <c r="E148" s="23" t="s">
        <v>425</v>
      </c>
      <c r="F148" s="23" t="s">
        <v>426</v>
      </c>
      <c r="G148" s="65" t="s">
        <v>427</v>
      </c>
    </row>
    <row r="149" spans="1:7">
      <c r="A149" s="197" t="s">
        <v>102</v>
      </c>
      <c r="B149" s="199" t="s">
        <v>103</v>
      </c>
      <c r="C149" s="17" t="s">
        <v>557</v>
      </c>
      <c r="D149" s="17" t="s">
        <v>429</v>
      </c>
      <c r="E149" s="18">
        <v>2</v>
      </c>
      <c r="F149" s="177" t="s">
        <v>558</v>
      </c>
      <c r="G149" s="192">
        <f>'Sprint Backlog - 27-06-25'!$G$36*4</f>
        <v>8</v>
      </c>
    </row>
    <row r="150" spans="1:7">
      <c r="A150" s="197"/>
      <c r="B150" s="199"/>
      <c r="C150" s="17" t="s">
        <v>559</v>
      </c>
      <c r="D150" s="17" t="s">
        <v>432</v>
      </c>
      <c r="E150" s="18">
        <v>4</v>
      </c>
      <c r="F150" s="177"/>
      <c r="G150" s="192"/>
    </row>
    <row r="151" spans="1:7">
      <c r="A151" s="197"/>
      <c r="B151" s="199"/>
      <c r="C151" s="17"/>
      <c r="D151" s="17" t="s">
        <v>434</v>
      </c>
      <c r="E151" s="18"/>
      <c r="F151" s="177"/>
      <c r="G151" s="192"/>
    </row>
    <row r="152" spans="1:7">
      <c r="A152" s="197"/>
      <c r="B152" s="199"/>
      <c r="C152" s="17" t="s">
        <v>560</v>
      </c>
      <c r="D152" s="17" t="s">
        <v>436</v>
      </c>
      <c r="E152" s="18">
        <v>1</v>
      </c>
      <c r="F152" s="177"/>
      <c r="G152" s="192"/>
    </row>
    <row r="153" spans="1:7">
      <c r="A153" s="197"/>
      <c r="B153" s="199"/>
      <c r="C153" s="17" t="s">
        <v>499</v>
      </c>
      <c r="D153" s="17" t="s">
        <v>438</v>
      </c>
      <c r="E153" s="18">
        <v>1</v>
      </c>
      <c r="F153" s="177"/>
      <c r="G153" s="192"/>
    </row>
    <row r="154" spans="1:7">
      <c r="A154" s="197" t="s">
        <v>125</v>
      </c>
      <c r="B154" s="199" t="s">
        <v>126</v>
      </c>
      <c r="C154" s="23" t="s">
        <v>423</v>
      </c>
      <c r="D154" s="23" t="s">
        <v>424</v>
      </c>
      <c r="E154" s="23" t="s">
        <v>425</v>
      </c>
      <c r="F154" s="23" t="s">
        <v>426</v>
      </c>
      <c r="G154" s="65" t="s">
        <v>427</v>
      </c>
    </row>
    <row r="155" spans="1:7">
      <c r="A155" s="197"/>
      <c r="B155" s="199"/>
      <c r="C155" s="17" t="s">
        <v>604</v>
      </c>
      <c r="D155" s="17" t="s">
        <v>429</v>
      </c>
      <c r="E155" s="18">
        <v>2</v>
      </c>
      <c r="F155" s="177" t="s">
        <v>605</v>
      </c>
      <c r="G155" s="192">
        <f>'Sprint Backlog - 27-06-25'!$G$37*4</f>
        <v>20</v>
      </c>
    </row>
    <row r="156" spans="1:7">
      <c r="A156" s="197"/>
      <c r="B156" s="199"/>
      <c r="C156" s="17" t="s">
        <v>606</v>
      </c>
      <c r="D156" s="17" t="s">
        <v>432</v>
      </c>
      <c r="E156" s="18">
        <v>8</v>
      </c>
      <c r="F156" s="177"/>
      <c r="G156" s="192"/>
    </row>
    <row r="157" spans="1:7">
      <c r="A157" s="197"/>
      <c r="B157" s="199"/>
      <c r="C157" s="17" t="s">
        <v>607</v>
      </c>
      <c r="D157" s="17" t="s">
        <v>434</v>
      </c>
      <c r="E157" s="18">
        <v>8</v>
      </c>
      <c r="F157" s="177"/>
      <c r="G157" s="192"/>
    </row>
    <row r="158" spans="1:7">
      <c r="A158" s="197"/>
      <c r="B158" s="199"/>
      <c r="C158" s="17" t="s">
        <v>608</v>
      </c>
      <c r="D158" s="17" t="s">
        <v>436</v>
      </c>
      <c r="E158" s="18">
        <v>1</v>
      </c>
      <c r="F158" s="177"/>
      <c r="G158" s="192"/>
    </row>
    <row r="159" spans="1:7">
      <c r="A159" s="197"/>
      <c r="B159" s="199"/>
      <c r="C159" s="17" t="s">
        <v>609</v>
      </c>
      <c r="D159" s="17" t="s">
        <v>438</v>
      </c>
      <c r="E159" s="18">
        <v>1</v>
      </c>
      <c r="F159" s="177"/>
      <c r="G159" s="192"/>
    </row>
    <row r="160" spans="1:7">
      <c r="A160" s="197" t="s">
        <v>129</v>
      </c>
      <c r="B160" s="177" t="s">
        <v>130</v>
      </c>
      <c r="C160" s="23" t="s">
        <v>423</v>
      </c>
      <c r="D160" s="23" t="s">
        <v>424</v>
      </c>
      <c r="E160" s="23" t="s">
        <v>425</v>
      </c>
      <c r="F160" s="23" t="s">
        <v>426</v>
      </c>
      <c r="G160" s="65" t="s">
        <v>427</v>
      </c>
    </row>
    <row r="161" spans="1:7">
      <c r="A161" s="197"/>
      <c r="B161" s="177"/>
      <c r="C161" s="17" t="s">
        <v>610</v>
      </c>
      <c r="D161" s="17" t="s">
        <v>429</v>
      </c>
      <c r="E161" s="18">
        <v>1</v>
      </c>
      <c r="F161" s="177" t="s">
        <v>611</v>
      </c>
      <c r="G161" s="192">
        <f>'Sprint Backlog - 27-06-25'!$G$38*4</f>
        <v>12</v>
      </c>
    </row>
    <row r="162" spans="1:7">
      <c r="A162" s="197"/>
      <c r="B162" s="177"/>
      <c r="C162" s="17" t="s">
        <v>612</v>
      </c>
      <c r="D162" s="17" t="s">
        <v>432</v>
      </c>
      <c r="E162" s="18">
        <v>4</v>
      </c>
      <c r="F162" s="177"/>
      <c r="G162" s="192"/>
    </row>
    <row r="163" spans="1:7">
      <c r="A163" s="197"/>
      <c r="B163" s="177"/>
      <c r="C163" s="53" t="s">
        <v>613</v>
      </c>
      <c r="D163" s="17" t="s">
        <v>434</v>
      </c>
      <c r="E163" s="18">
        <v>5</v>
      </c>
      <c r="F163" s="177"/>
      <c r="G163" s="192"/>
    </row>
    <row r="164" spans="1:7">
      <c r="A164" s="197"/>
      <c r="B164" s="177"/>
      <c r="C164" s="53" t="s">
        <v>614</v>
      </c>
      <c r="D164" s="17" t="s">
        <v>436</v>
      </c>
      <c r="E164" s="18">
        <v>1</v>
      </c>
      <c r="F164" s="177"/>
      <c r="G164" s="192"/>
    </row>
    <row r="165" spans="1:7">
      <c r="A165" s="197"/>
      <c r="B165" s="177"/>
      <c r="C165" s="17" t="s">
        <v>615</v>
      </c>
      <c r="D165" s="17" t="s">
        <v>438</v>
      </c>
      <c r="E165" s="18">
        <v>1</v>
      </c>
      <c r="F165" s="177"/>
      <c r="G165" s="192"/>
    </row>
    <row r="166" spans="1:7">
      <c r="A166" s="197" t="s">
        <v>143</v>
      </c>
      <c r="B166" s="199" t="s">
        <v>144</v>
      </c>
      <c r="C166" s="23" t="s">
        <v>423</v>
      </c>
      <c r="D166" s="23" t="s">
        <v>424</v>
      </c>
      <c r="E166" s="23" t="s">
        <v>425</v>
      </c>
      <c r="F166" s="23" t="s">
        <v>426</v>
      </c>
      <c r="G166" s="65" t="s">
        <v>427</v>
      </c>
    </row>
    <row r="167" spans="1:7">
      <c r="A167" s="197"/>
      <c r="B167" s="199"/>
      <c r="C167" s="17" t="s">
        <v>629</v>
      </c>
      <c r="D167" s="17" t="s">
        <v>429</v>
      </c>
      <c r="E167" s="18">
        <v>1</v>
      </c>
      <c r="F167" s="177" t="s">
        <v>630</v>
      </c>
      <c r="G167" s="192">
        <f>'Sprint Backlog - 27-06-25'!$G$39*4</f>
        <v>20</v>
      </c>
    </row>
    <row r="168" spans="1:7">
      <c r="A168" s="197"/>
      <c r="B168" s="199"/>
      <c r="C168" s="17" t="s">
        <v>631</v>
      </c>
      <c r="D168" s="17" t="s">
        <v>432</v>
      </c>
      <c r="E168" s="18">
        <v>7</v>
      </c>
      <c r="F168" s="177"/>
      <c r="G168" s="192"/>
    </row>
    <row r="169" spans="1:7">
      <c r="A169" s="197"/>
      <c r="B169" s="199"/>
      <c r="C169" s="17" t="s">
        <v>632</v>
      </c>
      <c r="D169" s="17" t="s">
        <v>434</v>
      </c>
      <c r="E169" s="18">
        <v>9</v>
      </c>
      <c r="F169" s="177"/>
      <c r="G169" s="192"/>
    </row>
    <row r="170" spans="1:7">
      <c r="A170" s="197"/>
      <c r="B170" s="199"/>
      <c r="C170" s="17" t="s">
        <v>633</v>
      </c>
      <c r="D170" s="17" t="s">
        <v>436</v>
      </c>
      <c r="E170" s="18">
        <v>2</v>
      </c>
      <c r="F170" s="177"/>
      <c r="G170" s="192"/>
    </row>
    <row r="171" spans="1:7">
      <c r="A171" s="197"/>
      <c r="B171" s="199"/>
      <c r="C171" s="17" t="s">
        <v>634</v>
      </c>
      <c r="D171" s="17" t="s">
        <v>438</v>
      </c>
      <c r="E171" s="18">
        <v>1</v>
      </c>
      <c r="F171" s="177"/>
      <c r="G171" s="192"/>
    </row>
    <row r="172" spans="1:7">
      <c r="A172" s="197" t="s">
        <v>147</v>
      </c>
      <c r="B172" s="177" t="s">
        <v>148</v>
      </c>
      <c r="C172" s="23" t="s">
        <v>423</v>
      </c>
      <c r="D172" s="23" t="s">
        <v>424</v>
      </c>
      <c r="E172" s="23" t="s">
        <v>425</v>
      </c>
      <c r="F172" s="23" t="s">
        <v>426</v>
      </c>
      <c r="G172" s="65" t="s">
        <v>427</v>
      </c>
    </row>
    <row r="173" spans="1:7">
      <c r="A173" s="197"/>
      <c r="B173" s="177"/>
      <c r="C173" s="17" t="s">
        <v>635</v>
      </c>
      <c r="D173" s="17" t="s">
        <v>429</v>
      </c>
      <c r="E173" s="18">
        <v>3</v>
      </c>
      <c r="F173" s="177" t="s">
        <v>636</v>
      </c>
      <c r="G173" s="192">
        <f>'Sprint Backlog - 27-06-25'!$G$40*4</f>
        <v>32</v>
      </c>
    </row>
    <row r="174" spans="1:7">
      <c r="A174" s="197"/>
      <c r="B174" s="177"/>
      <c r="C174" s="17" t="s">
        <v>637</v>
      </c>
      <c r="D174" s="17" t="s">
        <v>432</v>
      </c>
      <c r="E174" s="18">
        <v>8</v>
      </c>
      <c r="F174" s="177"/>
      <c r="G174" s="192"/>
    </row>
    <row r="175" spans="1:7">
      <c r="A175" s="197"/>
      <c r="B175" s="177"/>
      <c r="C175" s="53" t="s">
        <v>638</v>
      </c>
      <c r="D175" s="17" t="s">
        <v>434</v>
      </c>
      <c r="E175" s="18">
        <v>19</v>
      </c>
      <c r="F175" s="177"/>
      <c r="G175" s="192"/>
    </row>
    <row r="176" spans="1:7">
      <c r="A176" s="197"/>
      <c r="B176" s="177"/>
      <c r="C176" s="53" t="s">
        <v>639</v>
      </c>
      <c r="D176" s="17" t="s">
        <v>436</v>
      </c>
      <c r="E176" s="18">
        <v>2</v>
      </c>
      <c r="F176" s="177"/>
      <c r="G176" s="192"/>
    </row>
    <row r="177" spans="1:7">
      <c r="A177" s="198"/>
      <c r="B177" s="201"/>
      <c r="C177" s="67" t="s">
        <v>640</v>
      </c>
      <c r="D177" s="67" t="s">
        <v>438</v>
      </c>
      <c r="E177" s="66">
        <v>1</v>
      </c>
      <c r="F177" s="201"/>
      <c r="G177" s="193"/>
    </row>
    <row r="179" spans="1:7">
      <c r="A179" s="194" t="s">
        <v>603</v>
      </c>
      <c r="B179" s="195"/>
      <c r="C179" s="195"/>
      <c r="D179" s="195"/>
      <c r="E179" s="195"/>
      <c r="F179" s="195"/>
      <c r="G179" s="196"/>
    </row>
    <row r="180" spans="1:7">
      <c r="A180" s="64" t="s">
        <v>1</v>
      </c>
      <c r="B180" s="23" t="s">
        <v>422</v>
      </c>
      <c r="C180" s="23" t="s">
        <v>423</v>
      </c>
      <c r="D180" s="23" t="s">
        <v>424</v>
      </c>
      <c r="E180" s="23" t="s">
        <v>425</v>
      </c>
      <c r="F180" s="23" t="s">
        <v>426</v>
      </c>
      <c r="G180" s="65" t="s">
        <v>427</v>
      </c>
    </row>
    <row r="181" spans="1:7">
      <c r="A181" s="197" t="s">
        <v>151</v>
      </c>
      <c r="B181" s="177" t="s">
        <v>152</v>
      </c>
      <c r="C181" s="17" t="s">
        <v>641</v>
      </c>
      <c r="D181" s="17" t="s">
        <v>429</v>
      </c>
      <c r="E181" s="18">
        <v>1</v>
      </c>
      <c r="F181" s="177" t="s">
        <v>642</v>
      </c>
      <c r="G181" s="192">
        <f>'Sprint Backlog - 27-06-25'!$G$44*4</f>
        <v>20</v>
      </c>
    </row>
    <row r="182" spans="1:7">
      <c r="A182" s="197"/>
      <c r="B182" s="177"/>
      <c r="C182" s="17" t="s">
        <v>643</v>
      </c>
      <c r="D182" s="17" t="s">
        <v>432</v>
      </c>
      <c r="E182" s="18">
        <v>7</v>
      </c>
      <c r="F182" s="177"/>
      <c r="G182" s="192"/>
    </row>
    <row r="183" spans="1:7">
      <c r="A183" s="197"/>
      <c r="B183" s="177"/>
      <c r="C183" s="53" t="s">
        <v>644</v>
      </c>
      <c r="D183" s="17" t="s">
        <v>434</v>
      </c>
      <c r="E183" s="18">
        <v>9</v>
      </c>
      <c r="F183" s="177"/>
      <c r="G183" s="192"/>
    </row>
    <row r="184" spans="1:7">
      <c r="A184" s="197"/>
      <c r="B184" s="177"/>
      <c r="C184" s="53" t="s">
        <v>645</v>
      </c>
      <c r="D184" s="17" t="s">
        <v>436</v>
      </c>
      <c r="E184" s="18">
        <v>2</v>
      </c>
      <c r="F184" s="177"/>
      <c r="G184" s="192"/>
    </row>
    <row r="185" spans="1:7">
      <c r="A185" s="197"/>
      <c r="B185" s="177"/>
      <c r="C185" s="17" t="s">
        <v>646</v>
      </c>
      <c r="D185" s="17" t="s">
        <v>438</v>
      </c>
      <c r="E185" s="18">
        <v>1</v>
      </c>
      <c r="F185" s="177"/>
      <c r="G185" s="192"/>
    </row>
    <row r="186" spans="1:7">
      <c r="A186" s="197" t="s">
        <v>133</v>
      </c>
      <c r="B186" s="177" t="s">
        <v>134</v>
      </c>
      <c r="C186" s="23" t="s">
        <v>423</v>
      </c>
      <c r="D186" s="23" t="s">
        <v>424</v>
      </c>
      <c r="E186" s="23" t="s">
        <v>425</v>
      </c>
      <c r="F186" s="23" t="s">
        <v>426</v>
      </c>
      <c r="G186" s="65" t="s">
        <v>427</v>
      </c>
    </row>
    <row r="187" spans="1:7">
      <c r="A187" s="197"/>
      <c r="B187" s="177"/>
      <c r="C187" s="17" t="s">
        <v>616</v>
      </c>
      <c r="D187" s="17" t="s">
        <v>429</v>
      </c>
      <c r="E187" s="18">
        <v>1</v>
      </c>
      <c r="F187" s="177" t="s">
        <v>617</v>
      </c>
      <c r="G187" s="192">
        <f>'Sprint Backlog - 27-06-25'!$G$45*4</f>
        <v>12</v>
      </c>
    </row>
    <row r="188" spans="1:7">
      <c r="A188" s="197"/>
      <c r="B188" s="177"/>
      <c r="C188" s="17" t="s">
        <v>618</v>
      </c>
      <c r="D188" s="17" t="s">
        <v>432</v>
      </c>
      <c r="E188" s="18">
        <v>4</v>
      </c>
      <c r="F188" s="177"/>
      <c r="G188" s="192"/>
    </row>
    <row r="189" spans="1:7">
      <c r="A189" s="197"/>
      <c r="B189" s="177"/>
      <c r="C189" s="17" t="s">
        <v>619</v>
      </c>
      <c r="D189" s="17" t="s">
        <v>434</v>
      </c>
      <c r="E189" s="18">
        <v>5</v>
      </c>
      <c r="F189" s="177"/>
      <c r="G189" s="192"/>
    </row>
    <row r="190" spans="1:7">
      <c r="A190" s="197"/>
      <c r="B190" s="177"/>
      <c r="C190" s="17" t="s">
        <v>620</v>
      </c>
      <c r="D190" s="17" t="s">
        <v>436</v>
      </c>
      <c r="E190" s="18">
        <v>1</v>
      </c>
      <c r="F190" s="177"/>
      <c r="G190" s="192"/>
    </row>
    <row r="191" spans="1:7">
      <c r="A191" s="197"/>
      <c r="B191" s="177"/>
      <c r="C191" s="17" t="s">
        <v>621</v>
      </c>
      <c r="D191" s="17" t="s">
        <v>438</v>
      </c>
      <c r="E191" s="18">
        <v>1</v>
      </c>
      <c r="F191" s="177"/>
      <c r="G191" s="192"/>
    </row>
    <row r="192" spans="1:7">
      <c r="A192" s="197" t="s">
        <v>195</v>
      </c>
      <c r="B192" s="177" t="s">
        <v>196</v>
      </c>
      <c r="C192" s="23" t="s">
        <v>423</v>
      </c>
      <c r="D192" s="23" t="s">
        <v>424</v>
      </c>
      <c r="E192" s="23" t="s">
        <v>425</v>
      </c>
      <c r="F192" s="23" t="s">
        <v>426</v>
      </c>
      <c r="G192" s="65" t="s">
        <v>427</v>
      </c>
    </row>
    <row r="193" spans="1:7">
      <c r="A193" s="197"/>
      <c r="B193" s="177"/>
      <c r="C193" s="17" t="s">
        <v>702</v>
      </c>
      <c r="D193" s="17" t="s">
        <v>429</v>
      </c>
      <c r="E193" s="18">
        <v>1</v>
      </c>
      <c r="F193" s="177" t="s">
        <v>703</v>
      </c>
      <c r="G193" s="192">
        <f>'Sprint Backlog - 27-06-25'!$G$46*4</f>
        <v>8</v>
      </c>
    </row>
    <row r="194" spans="1:7">
      <c r="A194" s="197"/>
      <c r="B194" s="177"/>
      <c r="C194" s="17" t="s">
        <v>704</v>
      </c>
      <c r="D194" s="17" t="s">
        <v>432</v>
      </c>
      <c r="E194" s="18">
        <v>4</v>
      </c>
      <c r="F194" s="177"/>
      <c r="G194" s="192"/>
    </row>
    <row r="195" spans="1:7">
      <c r="A195" s="197"/>
      <c r="B195" s="177"/>
      <c r="C195" s="53" t="s">
        <v>705</v>
      </c>
      <c r="D195" s="17" t="s">
        <v>434</v>
      </c>
      <c r="E195" s="18">
        <v>1</v>
      </c>
      <c r="F195" s="177"/>
      <c r="G195" s="192"/>
    </row>
    <row r="196" spans="1:7">
      <c r="A196" s="197"/>
      <c r="B196" s="177"/>
      <c r="C196" s="53" t="s">
        <v>706</v>
      </c>
      <c r="D196" s="17" t="s">
        <v>436</v>
      </c>
      <c r="E196" s="18">
        <v>1</v>
      </c>
      <c r="F196" s="177"/>
      <c r="G196" s="192"/>
    </row>
    <row r="197" spans="1:7">
      <c r="A197" s="197"/>
      <c r="B197" s="177"/>
      <c r="C197" s="17" t="s">
        <v>707</v>
      </c>
      <c r="D197" s="17" t="s">
        <v>438</v>
      </c>
      <c r="E197" s="18">
        <v>1</v>
      </c>
      <c r="F197" s="177"/>
      <c r="G197" s="192"/>
    </row>
    <row r="198" spans="1:7">
      <c r="A198" s="197" t="s">
        <v>164</v>
      </c>
      <c r="B198" s="199" t="s">
        <v>165</v>
      </c>
      <c r="C198" s="23" t="s">
        <v>423</v>
      </c>
      <c r="D198" s="23" t="s">
        <v>424</v>
      </c>
      <c r="E198" s="23" t="s">
        <v>425</v>
      </c>
      <c r="F198" s="23" t="s">
        <v>426</v>
      </c>
      <c r="G198" s="65" t="s">
        <v>427</v>
      </c>
    </row>
    <row r="199" spans="1:7">
      <c r="A199" s="197"/>
      <c r="B199" s="199"/>
      <c r="C199" s="17" t="s">
        <v>660</v>
      </c>
      <c r="D199" s="17" t="s">
        <v>429</v>
      </c>
      <c r="E199" s="18">
        <v>2</v>
      </c>
      <c r="F199" s="177" t="s">
        <v>661</v>
      </c>
      <c r="G199" s="192">
        <f>'Sprint Backlog - 27-06-25'!$G$47*4</f>
        <v>20</v>
      </c>
    </row>
    <row r="200" spans="1:7">
      <c r="A200" s="197"/>
      <c r="B200" s="199"/>
      <c r="C200" s="17" t="s">
        <v>662</v>
      </c>
      <c r="D200" s="17" t="s">
        <v>432</v>
      </c>
      <c r="E200" s="18">
        <v>7</v>
      </c>
      <c r="F200" s="177"/>
      <c r="G200" s="192"/>
    </row>
    <row r="201" spans="1:7">
      <c r="A201" s="197"/>
      <c r="B201" s="199"/>
      <c r="C201" s="53" t="s">
        <v>663</v>
      </c>
      <c r="D201" s="17" t="s">
        <v>434</v>
      </c>
      <c r="E201" s="18">
        <v>9</v>
      </c>
      <c r="F201" s="177"/>
      <c r="G201" s="192"/>
    </row>
    <row r="202" spans="1:7">
      <c r="A202" s="197"/>
      <c r="B202" s="199"/>
      <c r="C202" s="17" t="s">
        <v>664</v>
      </c>
      <c r="D202" s="17" t="s">
        <v>436</v>
      </c>
      <c r="E202" s="18">
        <v>1</v>
      </c>
      <c r="F202" s="177"/>
      <c r="G202" s="192"/>
    </row>
    <row r="203" spans="1:7">
      <c r="A203" s="197"/>
      <c r="B203" s="199"/>
      <c r="C203" s="17" t="s">
        <v>665</v>
      </c>
      <c r="D203" s="17" t="s">
        <v>438</v>
      </c>
      <c r="E203" s="18">
        <v>1</v>
      </c>
      <c r="F203" s="177"/>
      <c r="G203" s="192"/>
    </row>
    <row r="204" spans="1:7">
      <c r="A204" s="197" t="s">
        <v>172</v>
      </c>
      <c r="B204" s="177" t="s">
        <v>173</v>
      </c>
      <c r="C204" s="23" t="s">
        <v>423</v>
      </c>
      <c r="D204" s="23" t="s">
        <v>424</v>
      </c>
      <c r="E204" s="23" t="s">
        <v>425</v>
      </c>
      <c r="F204" s="23" t="s">
        <v>426</v>
      </c>
      <c r="G204" s="65" t="s">
        <v>427</v>
      </c>
    </row>
    <row r="205" spans="1:7">
      <c r="A205" s="197"/>
      <c r="B205" s="177"/>
      <c r="C205" s="17" t="s">
        <v>672</v>
      </c>
      <c r="D205" s="17" t="s">
        <v>429</v>
      </c>
      <c r="E205" s="18">
        <v>2</v>
      </c>
      <c r="F205" s="177" t="s">
        <v>673</v>
      </c>
      <c r="G205" s="192">
        <f>'Sprint Backlog - 27-06-25'!$G$48*4</f>
        <v>20</v>
      </c>
    </row>
    <row r="206" spans="1:7">
      <c r="A206" s="197"/>
      <c r="B206" s="177"/>
      <c r="C206" s="17" t="s">
        <v>674</v>
      </c>
      <c r="D206" s="17" t="s">
        <v>432</v>
      </c>
      <c r="E206" s="18">
        <v>8</v>
      </c>
      <c r="F206" s="177"/>
      <c r="G206" s="192"/>
    </row>
    <row r="207" spans="1:7">
      <c r="A207" s="197"/>
      <c r="B207" s="177"/>
      <c r="C207" s="17" t="s">
        <v>675</v>
      </c>
      <c r="D207" s="17" t="s">
        <v>434</v>
      </c>
      <c r="E207" s="18">
        <v>8</v>
      </c>
      <c r="F207" s="177"/>
      <c r="G207" s="192"/>
    </row>
    <row r="208" spans="1:7">
      <c r="A208" s="197"/>
      <c r="B208" s="177"/>
      <c r="C208" s="17" t="s">
        <v>676</v>
      </c>
      <c r="D208" s="17" t="s">
        <v>436</v>
      </c>
      <c r="E208" s="18">
        <v>1</v>
      </c>
      <c r="F208" s="177"/>
      <c r="G208" s="192"/>
    </row>
    <row r="209" spans="1:7">
      <c r="A209" s="198"/>
      <c r="B209" s="201"/>
      <c r="C209" s="67" t="s">
        <v>677</v>
      </c>
      <c r="D209" s="67" t="s">
        <v>438</v>
      </c>
      <c r="E209" s="66">
        <v>1</v>
      </c>
      <c r="F209" s="201"/>
      <c r="G209" s="193"/>
    </row>
    <row r="211" spans="1:7">
      <c r="A211" s="194" t="s">
        <v>628</v>
      </c>
      <c r="B211" s="195"/>
      <c r="C211" s="195"/>
      <c r="D211" s="195"/>
      <c r="E211" s="195"/>
      <c r="F211" s="195"/>
      <c r="G211" s="196"/>
    </row>
    <row r="212" spans="1:7">
      <c r="A212" s="64" t="s">
        <v>1</v>
      </c>
      <c r="B212" s="23" t="s">
        <v>422</v>
      </c>
      <c r="C212" s="23" t="s">
        <v>423</v>
      </c>
      <c r="D212" s="23" t="s">
        <v>424</v>
      </c>
      <c r="E212" s="23" t="s">
        <v>425</v>
      </c>
      <c r="F212" s="23" t="s">
        <v>426</v>
      </c>
      <c r="G212" s="65" t="s">
        <v>427</v>
      </c>
    </row>
    <row r="213" spans="1:7" ht="15" customHeight="1">
      <c r="A213" s="197" t="s">
        <v>106</v>
      </c>
      <c r="B213" s="177" t="s">
        <v>107</v>
      </c>
      <c r="C213" s="17" t="s">
        <v>561</v>
      </c>
      <c r="D213" s="17" t="s">
        <v>429</v>
      </c>
      <c r="E213" s="18">
        <v>1</v>
      </c>
      <c r="F213" s="177" t="s">
        <v>562</v>
      </c>
      <c r="G213" s="192">
        <f>'Sprint Backlog - 27-06-25'!$G$49*4</f>
        <v>8</v>
      </c>
    </row>
    <row r="214" spans="1:7">
      <c r="A214" s="197"/>
      <c r="B214" s="177"/>
      <c r="C214" s="17" t="s">
        <v>563</v>
      </c>
      <c r="D214" s="17" t="s">
        <v>432</v>
      </c>
      <c r="E214" s="18">
        <v>2</v>
      </c>
      <c r="F214" s="177"/>
      <c r="G214" s="192"/>
    </row>
    <row r="215" spans="1:7">
      <c r="A215" s="197"/>
      <c r="B215" s="177"/>
      <c r="C215" s="53" t="s">
        <v>564</v>
      </c>
      <c r="D215" s="17" t="s">
        <v>434</v>
      </c>
      <c r="E215" s="18">
        <v>3</v>
      </c>
      <c r="F215" s="177"/>
      <c r="G215" s="192"/>
    </row>
    <row r="216" spans="1:7">
      <c r="A216" s="197"/>
      <c r="B216" s="177"/>
      <c r="C216" s="53" t="s">
        <v>565</v>
      </c>
      <c r="D216" s="17" t="s">
        <v>436</v>
      </c>
      <c r="E216" s="18">
        <v>1</v>
      </c>
      <c r="F216" s="177"/>
      <c r="G216" s="192"/>
    </row>
    <row r="217" spans="1:7">
      <c r="A217" s="197"/>
      <c r="B217" s="177"/>
      <c r="C217" s="17" t="s">
        <v>566</v>
      </c>
      <c r="D217" s="17" t="s">
        <v>438</v>
      </c>
      <c r="E217" s="18">
        <v>1</v>
      </c>
      <c r="F217" s="177"/>
      <c r="G217" s="192"/>
    </row>
    <row r="218" spans="1:7">
      <c r="A218" s="207" t="s">
        <v>214</v>
      </c>
      <c r="B218" s="178" t="s">
        <v>215</v>
      </c>
      <c r="C218" s="23" t="s">
        <v>423</v>
      </c>
      <c r="D218" s="23" t="s">
        <v>424</v>
      </c>
      <c r="E218" s="23" t="s">
        <v>425</v>
      </c>
      <c r="F218" s="23" t="s">
        <v>426</v>
      </c>
      <c r="G218" s="65" t="s">
        <v>427</v>
      </c>
    </row>
    <row r="219" spans="1:7">
      <c r="A219" s="208"/>
      <c r="B219" s="179"/>
      <c r="C219" s="17" t="s">
        <v>726</v>
      </c>
      <c r="D219" s="17" t="s">
        <v>429</v>
      </c>
      <c r="E219" s="18">
        <v>2</v>
      </c>
      <c r="F219" s="177" t="s">
        <v>727</v>
      </c>
      <c r="G219" s="192">
        <f>'Sprint Backlog - 27-06-25'!$G$53*4</f>
        <v>12</v>
      </c>
    </row>
    <row r="220" spans="1:7">
      <c r="A220" s="208"/>
      <c r="B220" s="179"/>
      <c r="C220" s="17" t="s">
        <v>728</v>
      </c>
      <c r="D220" s="17" t="s">
        <v>432</v>
      </c>
      <c r="E220" s="18">
        <v>3</v>
      </c>
      <c r="F220" s="177"/>
      <c r="G220" s="192"/>
    </row>
    <row r="221" spans="1:7">
      <c r="A221" s="208"/>
      <c r="B221" s="179"/>
      <c r="C221" s="17" t="s">
        <v>729</v>
      </c>
      <c r="D221" s="17" t="s">
        <v>434</v>
      </c>
      <c r="E221" s="18">
        <v>5</v>
      </c>
      <c r="F221" s="177"/>
      <c r="G221" s="192"/>
    </row>
    <row r="222" spans="1:7">
      <c r="A222" s="208"/>
      <c r="B222" s="179"/>
      <c r="C222" s="17" t="s">
        <v>730</v>
      </c>
      <c r="D222" s="17" t="s">
        <v>436</v>
      </c>
      <c r="E222" s="18">
        <v>1</v>
      </c>
      <c r="F222" s="177"/>
      <c r="G222" s="192"/>
    </row>
    <row r="223" spans="1:7">
      <c r="A223" s="209"/>
      <c r="B223" s="180"/>
      <c r="C223" s="17" t="s">
        <v>725</v>
      </c>
      <c r="D223" s="17" t="s">
        <v>438</v>
      </c>
      <c r="E223" s="18">
        <v>1</v>
      </c>
      <c r="F223" s="177"/>
      <c r="G223" s="192"/>
    </row>
    <row r="224" spans="1:7">
      <c r="A224" s="197" t="s">
        <v>218</v>
      </c>
      <c r="B224" s="177" t="s">
        <v>219</v>
      </c>
      <c r="C224" s="23" t="s">
        <v>423</v>
      </c>
      <c r="D224" s="23" t="s">
        <v>424</v>
      </c>
      <c r="E224" s="23" t="s">
        <v>425</v>
      </c>
      <c r="F224" s="23" t="s">
        <v>426</v>
      </c>
      <c r="G224" s="65" t="s">
        <v>427</v>
      </c>
    </row>
    <row r="225" spans="1:7">
      <c r="A225" s="197"/>
      <c r="B225" s="177"/>
      <c r="C225" s="17" t="s">
        <v>731</v>
      </c>
      <c r="D225" s="17" t="s">
        <v>429</v>
      </c>
      <c r="E225" s="18">
        <v>1</v>
      </c>
      <c r="F225" s="177" t="s">
        <v>732</v>
      </c>
      <c r="G225" s="192">
        <f>'Sprint Backlog - 27-06-25'!$G$54*4</f>
        <v>12</v>
      </c>
    </row>
    <row r="226" spans="1:7">
      <c r="A226" s="197"/>
      <c r="B226" s="177"/>
      <c r="C226" s="17" t="s">
        <v>733</v>
      </c>
      <c r="D226" s="17" t="s">
        <v>432</v>
      </c>
      <c r="E226" s="18">
        <v>4</v>
      </c>
      <c r="F226" s="177"/>
      <c r="G226" s="192"/>
    </row>
    <row r="227" spans="1:7">
      <c r="A227" s="197"/>
      <c r="B227" s="177"/>
      <c r="C227" s="17" t="s">
        <v>734</v>
      </c>
      <c r="D227" s="17" t="s">
        <v>434</v>
      </c>
      <c r="E227" s="18">
        <v>5</v>
      </c>
      <c r="F227" s="177"/>
      <c r="G227" s="192"/>
    </row>
    <row r="228" spans="1:7">
      <c r="A228" s="197"/>
      <c r="B228" s="177"/>
      <c r="C228" s="17" t="s">
        <v>735</v>
      </c>
      <c r="D228" s="17" t="s">
        <v>436</v>
      </c>
      <c r="E228" s="18">
        <v>1</v>
      </c>
      <c r="F228" s="177"/>
      <c r="G228" s="192"/>
    </row>
    <row r="229" spans="1:7">
      <c r="A229" s="197"/>
      <c r="B229" s="177"/>
      <c r="C229" s="17" t="s">
        <v>725</v>
      </c>
      <c r="D229" s="17" t="s">
        <v>438</v>
      </c>
      <c r="E229" s="18">
        <v>1</v>
      </c>
      <c r="F229" s="177"/>
      <c r="G229" s="192"/>
    </row>
    <row r="230" spans="1:7">
      <c r="A230" s="197" t="s">
        <v>222</v>
      </c>
      <c r="B230" s="177" t="s">
        <v>223</v>
      </c>
      <c r="C230" s="23" t="s">
        <v>423</v>
      </c>
      <c r="D230" s="23" t="s">
        <v>424</v>
      </c>
      <c r="E230" s="23" t="s">
        <v>425</v>
      </c>
      <c r="F230" s="23" t="s">
        <v>426</v>
      </c>
      <c r="G230" s="65" t="s">
        <v>427</v>
      </c>
    </row>
    <row r="231" spans="1:7">
      <c r="A231" s="197"/>
      <c r="B231" s="177"/>
      <c r="C231" s="17" t="s">
        <v>736</v>
      </c>
      <c r="D231" s="17" t="s">
        <v>429</v>
      </c>
      <c r="E231" s="18">
        <v>1</v>
      </c>
      <c r="F231" s="177" t="s">
        <v>737</v>
      </c>
      <c r="G231" s="192">
        <f>'Sprint Backlog - 27-06-25'!$G$55*4</f>
        <v>8</v>
      </c>
    </row>
    <row r="232" spans="1:7">
      <c r="A232" s="197"/>
      <c r="B232" s="177"/>
      <c r="C232" s="17" t="s">
        <v>738</v>
      </c>
      <c r="D232" s="17" t="s">
        <v>432</v>
      </c>
      <c r="E232" s="18">
        <v>1</v>
      </c>
      <c r="F232" s="177"/>
      <c r="G232" s="192"/>
    </row>
    <row r="233" spans="1:7">
      <c r="A233" s="197"/>
      <c r="B233" s="177"/>
      <c r="C233" s="17" t="s">
        <v>739</v>
      </c>
      <c r="D233" s="17" t="s">
        <v>434</v>
      </c>
      <c r="E233" s="18">
        <v>3</v>
      </c>
      <c r="F233" s="177"/>
      <c r="G233" s="192"/>
    </row>
    <row r="234" spans="1:7">
      <c r="A234" s="197"/>
      <c r="B234" s="177"/>
      <c r="C234" s="17" t="s">
        <v>740</v>
      </c>
      <c r="D234" s="17" t="s">
        <v>436</v>
      </c>
      <c r="E234" s="18">
        <v>1</v>
      </c>
      <c r="F234" s="177"/>
      <c r="G234" s="192"/>
    </row>
    <row r="235" spans="1:7">
      <c r="A235" s="197"/>
      <c r="B235" s="177"/>
      <c r="C235" s="17" t="s">
        <v>741</v>
      </c>
      <c r="D235" s="17" t="s">
        <v>438</v>
      </c>
      <c r="E235" s="18">
        <v>1</v>
      </c>
      <c r="F235" s="177"/>
      <c r="G235" s="192"/>
    </row>
    <row r="236" spans="1:7">
      <c r="A236" s="197" t="s">
        <v>49</v>
      </c>
      <c r="B236" s="177" t="s">
        <v>50</v>
      </c>
      <c r="C236" s="23" t="s">
        <v>423</v>
      </c>
      <c r="D236" s="23" t="s">
        <v>424</v>
      </c>
      <c r="E236" s="23" t="s">
        <v>425</v>
      </c>
      <c r="F236" s="23" t="s">
        <v>426</v>
      </c>
      <c r="G236" s="65" t="s">
        <v>427</v>
      </c>
    </row>
    <row r="237" spans="1:7">
      <c r="A237" s="197"/>
      <c r="B237" s="177"/>
      <c r="C237" s="17" t="s">
        <v>487</v>
      </c>
      <c r="D237" s="17" t="s">
        <v>429</v>
      </c>
      <c r="E237" s="18">
        <v>4</v>
      </c>
      <c r="F237" s="177" t="s">
        <v>488</v>
      </c>
      <c r="G237" s="192">
        <f>'Sprint Backlog - 27-06-25'!$G$56*4</f>
        <v>32</v>
      </c>
    </row>
    <row r="238" spans="1:7">
      <c r="A238" s="197"/>
      <c r="B238" s="177"/>
      <c r="C238" s="17" t="s">
        <v>489</v>
      </c>
      <c r="D238" s="17" t="s">
        <v>432</v>
      </c>
      <c r="E238" s="18">
        <v>10</v>
      </c>
      <c r="F238" s="177"/>
      <c r="G238" s="192"/>
    </row>
    <row r="239" spans="1:7">
      <c r="A239" s="197"/>
      <c r="B239" s="177"/>
      <c r="C239" s="17" t="s">
        <v>490</v>
      </c>
      <c r="D239" s="17" t="s">
        <v>434</v>
      </c>
      <c r="E239" s="18">
        <v>15</v>
      </c>
      <c r="F239" s="177"/>
      <c r="G239" s="192"/>
    </row>
    <row r="240" spans="1:7">
      <c r="A240" s="197"/>
      <c r="B240" s="177"/>
      <c r="C240" s="17" t="s">
        <v>491</v>
      </c>
      <c r="D240" s="17" t="s">
        <v>436</v>
      </c>
      <c r="E240" s="18">
        <v>2</v>
      </c>
      <c r="F240" s="177"/>
      <c r="G240" s="192"/>
    </row>
    <row r="241" spans="1:7">
      <c r="A241" s="197"/>
      <c r="B241" s="177"/>
      <c r="C241" s="17" t="s">
        <v>492</v>
      </c>
      <c r="D241" s="17" t="s">
        <v>438</v>
      </c>
      <c r="E241" s="18">
        <v>1</v>
      </c>
      <c r="F241" s="177"/>
      <c r="G241" s="192"/>
    </row>
    <row r="242" spans="1:7">
      <c r="A242" s="197" t="s">
        <v>244</v>
      </c>
      <c r="B242" s="199" t="s">
        <v>245</v>
      </c>
      <c r="C242" s="23" t="s">
        <v>423</v>
      </c>
      <c r="D242" s="23" t="s">
        <v>424</v>
      </c>
      <c r="E242" s="23" t="s">
        <v>425</v>
      </c>
      <c r="F242" s="23" t="s">
        <v>426</v>
      </c>
      <c r="G242" s="65" t="s">
        <v>427</v>
      </c>
    </row>
    <row r="243" spans="1:7" ht="15" customHeight="1">
      <c r="A243" s="197"/>
      <c r="B243" s="199"/>
      <c r="C243" s="17"/>
      <c r="D243" s="17" t="s">
        <v>429</v>
      </c>
      <c r="E243" s="18"/>
      <c r="F243" s="177" t="s">
        <v>761</v>
      </c>
      <c r="G243" s="192">
        <f>'Sprint Backlog - 27-06-25'!$G$62*4</f>
        <v>8</v>
      </c>
    </row>
    <row r="244" spans="1:7">
      <c r="A244" s="197"/>
      <c r="B244" s="199"/>
      <c r="C244" s="17" t="s">
        <v>762</v>
      </c>
      <c r="D244" s="17" t="s">
        <v>432</v>
      </c>
      <c r="E244" s="18">
        <v>2</v>
      </c>
      <c r="F244" s="177"/>
      <c r="G244" s="192"/>
    </row>
    <row r="245" spans="1:7">
      <c r="A245" s="197"/>
      <c r="B245" s="199"/>
      <c r="C245" s="17" t="s">
        <v>763</v>
      </c>
      <c r="D245" s="17" t="s">
        <v>434</v>
      </c>
      <c r="E245" s="18">
        <v>4</v>
      </c>
      <c r="F245" s="177"/>
      <c r="G245" s="192"/>
    </row>
    <row r="246" spans="1:7">
      <c r="A246" s="197"/>
      <c r="B246" s="199"/>
      <c r="C246" s="17" t="s">
        <v>764</v>
      </c>
      <c r="D246" s="17" t="s">
        <v>436</v>
      </c>
      <c r="E246" s="18">
        <v>1</v>
      </c>
      <c r="F246" s="177"/>
      <c r="G246" s="192"/>
    </row>
    <row r="247" spans="1:7">
      <c r="A247" s="197"/>
      <c r="B247" s="199"/>
      <c r="C247" s="17" t="s">
        <v>499</v>
      </c>
      <c r="D247" s="17" t="s">
        <v>438</v>
      </c>
      <c r="E247" s="18">
        <v>1</v>
      </c>
      <c r="F247" s="177"/>
      <c r="G247" s="192"/>
    </row>
    <row r="248" spans="1:7">
      <c r="A248" s="197" t="s">
        <v>244</v>
      </c>
      <c r="B248" s="199" t="s">
        <v>245</v>
      </c>
      <c r="C248" s="23" t="s">
        <v>423</v>
      </c>
      <c r="D248" s="23" t="s">
        <v>424</v>
      </c>
      <c r="E248" s="23" t="s">
        <v>425</v>
      </c>
      <c r="F248" s="23" t="s">
        <v>426</v>
      </c>
      <c r="G248" s="65" t="s">
        <v>427</v>
      </c>
    </row>
    <row r="249" spans="1:7" ht="15" customHeight="1">
      <c r="A249" s="197"/>
      <c r="B249" s="199"/>
      <c r="C249" s="17"/>
      <c r="D249" s="17" t="s">
        <v>429</v>
      </c>
      <c r="E249" s="18"/>
      <c r="F249" s="177" t="s">
        <v>761</v>
      </c>
      <c r="G249" s="192">
        <f>'Sprint Backlog - 27-06-25'!$G$62*4</f>
        <v>8</v>
      </c>
    </row>
    <row r="250" spans="1:7">
      <c r="A250" s="197"/>
      <c r="B250" s="199"/>
      <c r="C250" s="17" t="s">
        <v>762</v>
      </c>
      <c r="D250" s="17" t="s">
        <v>432</v>
      </c>
      <c r="E250" s="18">
        <v>2</v>
      </c>
      <c r="F250" s="177"/>
      <c r="G250" s="192"/>
    </row>
    <row r="251" spans="1:7">
      <c r="A251" s="197"/>
      <c r="B251" s="199"/>
      <c r="C251" s="17" t="s">
        <v>763</v>
      </c>
      <c r="D251" s="17" t="s">
        <v>434</v>
      </c>
      <c r="E251" s="18">
        <v>4</v>
      </c>
      <c r="F251" s="177"/>
      <c r="G251" s="192"/>
    </row>
    <row r="252" spans="1:7">
      <c r="A252" s="197"/>
      <c r="B252" s="199"/>
      <c r="C252" s="17" t="s">
        <v>764</v>
      </c>
      <c r="D252" s="17" t="s">
        <v>436</v>
      </c>
      <c r="E252" s="18">
        <v>1</v>
      </c>
      <c r="F252" s="177"/>
      <c r="G252" s="192"/>
    </row>
    <row r="253" spans="1:7">
      <c r="A253" s="198"/>
      <c r="B253" s="200"/>
      <c r="C253" s="67" t="s">
        <v>499</v>
      </c>
      <c r="D253" s="67" t="s">
        <v>438</v>
      </c>
      <c r="E253" s="66">
        <v>1</v>
      </c>
      <c r="F253" s="201"/>
      <c r="G253" s="193"/>
    </row>
    <row r="255" spans="1:7">
      <c r="A255" s="194" t="s">
        <v>653</v>
      </c>
      <c r="B255" s="195"/>
      <c r="C255" s="195"/>
      <c r="D255" s="195"/>
      <c r="E255" s="195"/>
      <c r="F255" s="195"/>
      <c r="G255" s="196"/>
    </row>
    <row r="256" spans="1:7">
      <c r="A256" s="64" t="s">
        <v>1</v>
      </c>
      <c r="B256" s="23" t="s">
        <v>422</v>
      </c>
      <c r="C256" s="23" t="s">
        <v>423</v>
      </c>
      <c r="D256" s="23" t="s">
        <v>424</v>
      </c>
      <c r="E256" s="23" t="s">
        <v>425</v>
      </c>
      <c r="F256" s="23" t="s">
        <v>426</v>
      </c>
      <c r="G256" s="65" t="s">
        <v>427</v>
      </c>
    </row>
    <row r="257" spans="1:7">
      <c r="A257" s="197" t="s">
        <v>231</v>
      </c>
      <c r="B257" s="177" t="s">
        <v>232</v>
      </c>
      <c r="C257" s="17" t="s">
        <v>747</v>
      </c>
      <c r="D257" s="17" t="s">
        <v>429</v>
      </c>
      <c r="E257" s="18">
        <v>6</v>
      </c>
      <c r="F257" s="177" t="s">
        <v>748</v>
      </c>
      <c r="G257" s="192">
        <f>'Sprint Backlog - 27-06-25'!$G$57*4</f>
        <v>20</v>
      </c>
    </row>
    <row r="258" spans="1:7">
      <c r="A258" s="197"/>
      <c r="B258" s="177"/>
      <c r="C258" s="17" t="s">
        <v>749</v>
      </c>
      <c r="D258" s="17" t="s">
        <v>432</v>
      </c>
      <c r="E258" s="18">
        <v>5</v>
      </c>
      <c r="F258" s="177"/>
      <c r="G258" s="192"/>
    </row>
    <row r="259" spans="1:7">
      <c r="A259" s="197"/>
      <c r="B259" s="177"/>
      <c r="C259" s="53" t="s">
        <v>750</v>
      </c>
      <c r="D259" s="17" t="s">
        <v>434</v>
      </c>
      <c r="E259" s="18">
        <v>6</v>
      </c>
      <c r="F259" s="177"/>
      <c r="G259" s="192"/>
    </row>
    <row r="260" spans="1:7">
      <c r="A260" s="197"/>
      <c r="B260" s="177"/>
      <c r="C260" s="53" t="s">
        <v>751</v>
      </c>
      <c r="D260" s="17" t="s">
        <v>436</v>
      </c>
      <c r="E260" s="18">
        <v>1</v>
      </c>
      <c r="F260" s="177"/>
      <c r="G260" s="192"/>
    </row>
    <row r="261" spans="1:7">
      <c r="A261" s="197"/>
      <c r="B261" s="177"/>
      <c r="C261" s="17" t="s">
        <v>499</v>
      </c>
      <c r="D261" s="17" t="s">
        <v>438</v>
      </c>
      <c r="E261" s="18">
        <v>2</v>
      </c>
      <c r="F261" s="177"/>
      <c r="G261" s="192"/>
    </row>
    <row r="262" spans="1:7" ht="9.75" customHeight="1">
      <c r="A262" s="197" t="s">
        <v>239</v>
      </c>
      <c r="B262" s="177" t="s">
        <v>240</v>
      </c>
      <c r="C262" s="23" t="s">
        <v>423</v>
      </c>
      <c r="D262" s="23" t="s">
        <v>424</v>
      </c>
      <c r="E262" s="23" t="s">
        <v>425</v>
      </c>
      <c r="F262" s="23" t="s">
        <v>426</v>
      </c>
      <c r="G262" s="65" t="s">
        <v>427</v>
      </c>
    </row>
    <row r="263" spans="1:7" ht="15" customHeight="1">
      <c r="A263" s="197"/>
      <c r="B263" s="177"/>
      <c r="C263" s="17" t="s">
        <v>757</v>
      </c>
      <c r="D263" s="17" t="s">
        <v>429</v>
      </c>
      <c r="E263" s="18">
        <v>2</v>
      </c>
      <c r="F263" s="177" t="s">
        <v>758</v>
      </c>
      <c r="G263" s="192">
        <f>'Sprint Backlog - 27-06-25'!$G$58*4</f>
        <v>12</v>
      </c>
    </row>
    <row r="264" spans="1:7" ht="27.75">
      <c r="A264" s="197"/>
      <c r="B264" s="177"/>
      <c r="C264" s="17" t="s">
        <v>759</v>
      </c>
      <c r="D264" s="17" t="s">
        <v>432</v>
      </c>
      <c r="E264" s="18">
        <v>4</v>
      </c>
      <c r="F264" s="177"/>
      <c r="G264" s="192"/>
    </row>
    <row r="265" spans="1:7">
      <c r="A265" s="197"/>
      <c r="B265" s="177"/>
      <c r="C265" s="17" t="s">
        <v>760</v>
      </c>
      <c r="D265" s="17" t="s">
        <v>434</v>
      </c>
      <c r="E265" s="18">
        <v>3</v>
      </c>
      <c r="F265" s="177"/>
      <c r="G265" s="192"/>
    </row>
    <row r="266" spans="1:7">
      <c r="A266" s="197"/>
      <c r="B266" s="177"/>
      <c r="C266" s="17" t="s">
        <v>560</v>
      </c>
      <c r="D266" s="17" t="s">
        <v>436</v>
      </c>
      <c r="E266" s="18">
        <v>1</v>
      </c>
      <c r="F266" s="177"/>
      <c r="G266" s="192"/>
    </row>
    <row r="267" spans="1:7">
      <c r="A267" s="197"/>
      <c r="B267" s="177"/>
      <c r="C267" s="17" t="s">
        <v>499</v>
      </c>
      <c r="D267" s="17" t="s">
        <v>438</v>
      </c>
      <c r="E267" s="18">
        <v>2</v>
      </c>
      <c r="F267" s="177"/>
      <c r="G267" s="192"/>
    </row>
    <row r="268" spans="1:7">
      <c r="A268" s="197" t="s">
        <v>257</v>
      </c>
      <c r="B268" s="177" t="s">
        <v>258</v>
      </c>
      <c r="C268" s="23" t="s">
        <v>423</v>
      </c>
      <c r="D268" s="23" t="s">
        <v>424</v>
      </c>
      <c r="E268" s="23" t="s">
        <v>425</v>
      </c>
      <c r="F268" s="23" t="s">
        <v>426</v>
      </c>
      <c r="G268" s="65" t="s">
        <v>427</v>
      </c>
    </row>
    <row r="269" spans="1:7">
      <c r="A269" s="197"/>
      <c r="B269" s="177"/>
      <c r="C269" s="17"/>
      <c r="D269" s="17" t="s">
        <v>429</v>
      </c>
      <c r="E269" s="18"/>
      <c r="F269" s="177" t="s">
        <v>596</v>
      </c>
      <c r="G269" s="192">
        <f>'Sprint Backlog - 27-06-25'!$G$63*4</f>
        <v>8</v>
      </c>
    </row>
    <row r="270" spans="1:7">
      <c r="A270" s="197"/>
      <c r="B270" s="177"/>
      <c r="C270" s="17" t="s">
        <v>597</v>
      </c>
      <c r="D270" s="17" t="s">
        <v>432</v>
      </c>
      <c r="E270" s="18">
        <v>3</v>
      </c>
      <c r="F270" s="177"/>
      <c r="G270" s="192"/>
    </row>
    <row r="271" spans="1:7">
      <c r="A271" s="197"/>
      <c r="B271" s="177"/>
      <c r="C271" s="53" t="s">
        <v>598</v>
      </c>
      <c r="D271" s="17" t="s">
        <v>434</v>
      </c>
      <c r="E271" s="18">
        <v>3</v>
      </c>
      <c r="F271" s="177"/>
      <c r="G271" s="192"/>
    </row>
    <row r="272" spans="1:7">
      <c r="A272" s="197"/>
      <c r="B272" s="177"/>
      <c r="C272" s="17" t="s">
        <v>498</v>
      </c>
      <c r="D272" s="17" t="s">
        <v>436</v>
      </c>
      <c r="E272" s="18">
        <v>1</v>
      </c>
      <c r="F272" s="177"/>
      <c r="G272" s="192"/>
    </row>
    <row r="273" spans="1:7">
      <c r="A273" s="197"/>
      <c r="B273" s="177"/>
      <c r="C273" s="17" t="s">
        <v>499</v>
      </c>
      <c r="D273" s="17" t="s">
        <v>438</v>
      </c>
      <c r="E273" s="18">
        <v>1</v>
      </c>
      <c r="F273" s="177"/>
      <c r="G273" s="192"/>
    </row>
    <row r="274" spans="1:7">
      <c r="A274" s="197" t="s">
        <v>53</v>
      </c>
      <c r="B274" s="177" t="s">
        <v>54</v>
      </c>
      <c r="C274" s="23" t="s">
        <v>423</v>
      </c>
      <c r="D274" s="23" t="s">
        <v>424</v>
      </c>
      <c r="E274" s="23" t="s">
        <v>425</v>
      </c>
      <c r="F274" s="23" t="s">
        <v>426</v>
      </c>
      <c r="G274" s="65" t="s">
        <v>427</v>
      </c>
    </row>
    <row r="275" spans="1:7">
      <c r="A275" s="197"/>
      <c r="B275" s="177"/>
      <c r="C275" s="17" t="s">
        <v>494</v>
      </c>
      <c r="D275" s="17" t="s">
        <v>429</v>
      </c>
      <c r="E275" s="18">
        <v>1</v>
      </c>
      <c r="F275" s="177" t="s">
        <v>495</v>
      </c>
      <c r="G275" s="192">
        <f>'Sprint Backlog - 27-06-25'!$G$64*4</f>
        <v>8</v>
      </c>
    </row>
    <row r="276" spans="1:7">
      <c r="A276" s="197"/>
      <c r="B276" s="177"/>
      <c r="C276" s="17" t="s">
        <v>496</v>
      </c>
      <c r="D276" s="17" t="s">
        <v>432</v>
      </c>
      <c r="E276" s="18">
        <v>3</v>
      </c>
      <c r="F276" s="177"/>
      <c r="G276" s="192"/>
    </row>
    <row r="277" spans="1:7">
      <c r="A277" s="197"/>
      <c r="B277" s="177"/>
      <c r="C277" s="17" t="s">
        <v>497</v>
      </c>
      <c r="D277" s="17" t="s">
        <v>434</v>
      </c>
      <c r="E277" s="18">
        <v>2</v>
      </c>
      <c r="F277" s="177"/>
      <c r="G277" s="192"/>
    </row>
    <row r="278" spans="1:7">
      <c r="A278" s="197"/>
      <c r="B278" s="177"/>
      <c r="C278" s="17" t="s">
        <v>498</v>
      </c>
      <c r="D278" s="17" t="s">
        <v>436</v>
      </c>
      <c r="E278" s="18">
        <v>1</v>
      </c>
      <c r="F278" s="177"/>
      <c r="G278" s="192"/>
    </row>
    <row r="279" spans="1:7">
      <c r="A279" s="197"/>
      <c r="B279" s="177"/>
      <c r="C279" s="17" t="s">
        <v>499</v>
      </c>
      <c r="D279" s="17" t="s">
        <v>438</v>
      </c>
      <c r="E279" s="18">
        <v>1</v>
      </c>
      <c r="F279" s="177"/>
      <c r="G279" s="192"/>
    </row>
    <row r="280" spans="1:7">
      <c r="A280" s="197" t="s">
        <v>57</v>
      </c>
      <c r="B280" s="199" t="s">
        <v>58</v>
      </c>
      <c r="C280" s="23" t="s">
        <v>423</v>
      </c>
      <c r="D280" s="23" t="s">
        <v>424</v>
      </c>
      <c r="E280" s="23" t="s">
        <v>425</v>
      </c>
      <c r="F280" s="23" t="s">
        <v>426</v>
      </c>
      <c r="G280" s="65" t="s">
        <v>427</v>
      </c>
    </row>
    <row r="281" spans="1:7">
      <c r="A281" s="197"/>
      <c r="B281" s="199"/>
      <c r="C281" s="17" t="s">
        <v>471</v>
      </c>
      <c r="D281" s="17" t="s">
        <v>429</v>
      </c>
      <c r="E281" s="18">
        <v>3</v>
      </c>
      <c r="F281" s="177" t="s">
        <v>500</v>
      </c>
      <c r="G281" s="192">
        <f>'Sprint Backlog - 27-06-25'!$G$65*4</f>
        <v>32</v>
      </c>
    </row>
    <row r="282" spans="1:7">
      <c r="A282" s="197"/>
      <c r="B282" s="199"/>
      <c r="C282" s="17" t="s">
        <v>501</v>
      </c>
      <c r="D282" s="17" t="s">
        <v>432</v>
      </c>
      <c r="E282" s="18">
        <v>11</v>
      </c>
      <c r="F282" s="177"/>
      <c r="G282" s="192"/>
    </row>
    <row r="283" spans="1:7">
      <c r="A283" s="197"/>
      <c r="B283" s="199"/>
      <c r="C283" s="17"/>
      <c r="D283" s="17" t="s">
        <v>434</v>
      </c>
      <c r="E283" s="18"/>
      <c r="F283" s="177"/>
      <c r="G283" s="192"/>
    </row>
    <row r="284" spans="1:7">
      <c r="A284" s="197"/>
      <c r="B284" s="199"/>
      <c r="C284" s="17" t="s">
        <v>502</v>
      </c>
      <c r="D284" s="17" t="s">
        <v>436</v>
      </c>
      <c r="E284" s="18">
        <v>2</v>
      </c>
      <c r="F284" s="177"/>
      <c r="G284" s="192"/>
    </row>
    <row r="285" spans="1:7">
      <c r="A285" s="197"/>
      <c r="B285" s="199"/>
      <c r="C285" s="17" t="s">
        <v>476</v>
      </c>
      <c r="D285" s="17" t="s">
        <v>438</v>
      </c>
      <c r="E285" s="18">
        <v>1</v>
      </c>
      <c r="F285" s="177"/>
      <c r="G285" s="192"/>
    </row>
    <row r="286" spans="1:7">
      <c r="A286" s="197" t="s">
        <v>70</v>
      </c>
      <c r="B286" s="177" t="s">
        <v>71</v>
      </c>
      <c r="C286" s="23" t="s">
        <v>423</v>
      </c>
      <c r="D286" s="23" t="s">
        <v>424</v>
      </c>
      <c r="E286" s="23" t="s">
        <v>425</v>
      </c>
      <c r="F286" s="23" t="s">
        <v>426</v>
      </c>
      <c r="G286" s="65" t="s">
        <v>427</v>
      </c>
    </row>
    <row r="287" spans="1:7">
      <c r="A287" s="197"/>
      <c r="B287" s="177"/>
      <c r="C287" s="17" t="s">
        <v>513</v>
      </c>
      <c r="D287" s="17" t="s">
        <v>429</v>
      </c>
      <c r="E287" s="18">
        <v>2</v>
      </c>
      <c r="F287" s="177" t="s">
        <v>514</v>
      </c>
      <c r="G287" s="192">
        <f>'Sprint Backlog - 27-06-25'!$G$66*4</f>
        <v>12</v>
      </c>
    </row>
    <row r="288" spans="1:7">
      <c r="A288" s="197"/>
      <c r="B288" s="177"/>
      <c r="C288" s="17" t="s">
        <v>515</v>
      </c>
      <c r="D288" s="17" t="s">
        <v>432</v>
      </c>
      <c r="E288" s="18">
        <v>6</v>
      </c>
      <c r="F288" s="177"/>
      <c r="G288" s="192"/>
    </row>
    <row r="289" spans="1:7">
      <c r="A289" s="197"/>
      <c r="B289" s="177"/>
      <c r="C289" s="53" t="s">
        <v>516</v>
      </c>
      <c r="D289" s="17" t="s">
        <v>434</v>
      </c>
      <c r="E289" s="18">
        <v>1</v>
      </c>
      <c r="F289" s="177"/>
      <c r="G289" s="192"/>
    </row>
    <row r="290" spans="1:7">
      <c r="A290" s="197"/>
      <c r="B290" s="177"/>
      <c r="C290" s="17" t="s">
        <v>517</v>
      </c>
      <c r="D290" s="17" t="s">
        <v>436</v>
      </c>
      <c r="E290" s="18">
        <v>2</v>
      </c>
      <c r="F290" s="177"/>
      <c r="G290" s="192"/>
    </row>
    <row r="291" spans="1:7">
      <c r="A291" s="198"/>
      <c r="B291" s="201"/>
      <c r="C291" s="67" t="s">
        <v>518</v>
      </c>
      <c r="D291" s="67" t="s">
        <v>438</v>
      </c>
      <c r="E291" s="66">
        <v>1</v>
      </c>
      <c r="F291" s="201"/>
      <c r="G291" s="193"/>
    </row>
    <row r="293" spans="1:7">
      <c r="A293" s="194" t="s">
        <v>678</v>
      </c>
      <c r="B293" s="195"/>
      <c r="C293" s="195"/>
      <c r="D293" s="195"/>
      <c r="E293" s="195"/>
      <c r="F293" s="195"/>
      <c r="G293" s="196"/>
    </row>
    <row r="294" spans="1:7">
      <c r="A294" s="197" t="s">
        <v>92</v>
      </c>
      <c r="B294" s="177" t="s">
        <v>93</v>
      </c>
      <c r="C294" s="23" t="s">
        <v>423</v>
      </c>
      <c r="D294" s="23" t="s">
        <v>424</v>
      </c>
      <c r="E294" s="23" t="s">
        <v>425</v>
      </c>
      <c r="F294" s="23" t="s">
        <v>426</v>
      </c>
      <c r="G294" s="65" t="s">
        <v>427</v>
      </c>
    </row>
    <row r="295" spans="1:7">
      <c r="A295" s="197"/>
      <c r="B295" s="177"/>
      <c r="C295" s="17" t="s">
        <v>550</v>
      </c>
      <c r="D295" s="17" t="s">
        <v>429</v>
      </c>
      <c r="E295" s="18">
        <v>2</v>
      </c>
      <c r="F295" s="177" t="s">
        <v>551</v>
      </c>
      <c r="G295" s="192">
        <f>'Sprint Backlog - 27-06-25'!$G$67*4</f>
        <v>20</v>
      </c>
    </row>
    <row r="296" spans="1:7">
      <c r="A296" s="197"/>
      <c r="B296" s="177"/>
      <c r="C296" s="17" t="s">
        <v>552</v>
      </c>
      <c r="D296" s="17" t="s">
        <v>432</v>
      </c>
      <c r="E296" s="18">
        <v>7</v>
      </c>
      <c r="F296" s="177"/>
      <c r="G296" s="192"/>
    </row>
    <row r="297" spans="1:7">
      <c r="A297" s="197"/>
      <c r="B297" s="177"/>
      <c r="C297" s="17" t="s">
        <v>553</v>
      </c>
      <c r="D297" s="17" t="s">
        <v>434</v>
      </c>
      <c r="E297" s="18">
        <v>8</v>
      </c>
      <c r="F297" s="177"/>
      <c r="G297" s="192"/>
    </row>
    <row r="298" spans="1:7">
      <c r="A298" s="197"/>
      <c r="B298" s="177"/>
      <c r="C298" s="17" t="s">
        <v>554</v>
      </c>
      <c r="D298" s="17" t="s">
        <v>436</v>
      </c>
      <c r="E298" s="18">
        <v>2</v>
      </c>
      <c r="F298" s="177"/>
      <c r="G298" s="192"/>
    </row>
    <row r="299" spans="1:7">
      <c r="A299" s="197"/>
      <c r="B299" s="177"/>
      <c r="C299" s="17" t="s">
        <v>555</v>
      </c>
      <c r="D299" s="17" t="s">
        <v>438</v>
      </c>
      <c r="E299" s="18">
        <v>1</v>
      </c>
      <c r="F299" s="177"/>
      <c r="G299" s="192"/>
    </row>
    <row r="300" spans="1:7">
      <c r="A300" s="197" t="s">
        <v>111</v>
      </c>
      <c r="B300" s="177" t="s">
        <v>112</v>
      </c>
      <c r="C300" s="23" t="s">
        <v>423</v>
      </c>
      <c r="D300" s="23" t="s">
        <v>424</v>
      </c>
      <c r="E300" s="23" t="s">
        <v>425</v>
      </c>
      <c r="F300" s="23" t="s">
        <v>426</v>
      </c>
      <c r="G300" s="65" t="s">
        <v>427</v>
      </c>
    </row>
    <row r="301" spans="1:7">
      <c r="A301" s="197"/>
      <c r="B301" s="177"/>
      <c r="C301" s="17" t="s">
        <v>567</v>
      </c>
      <c r="D301" s="17" t="s">
        <v>429</v>
      </c>
      <c r="E301" s="18">
        <v>3</v>
      </c>
      <c r="F301" s="177" t="s">
        <v>568</v>
      </c>
      <c r="G301" s="192">
        <f>'Sprint Backlog - 27-06-25'!$G$71*4</f>
        <v>20</v>
      </c>
    </row>
    <row r="302" spans="1:7">
      <c r="A302" s="197"/>
      <c r="B302" s="177"/>
      <c r="C302" s="17" t="s">
        <v>569</v>
      </c>
      <c r="D302" s="17" t="s">
        <v>432</v>
      </c>
      <c r="E302" s="18">
        <v>9</v>
      </c>
      <c r="F302" s="177"/>
      <c r="G302" s="192"/>
    </row>
    <row r="303" spans="1:7" ht="27.75">
      <c r="A303" s="197"/>
      <c r="B303" s="177"/>
      <c r="C303" s="17" t="s">
        <v>570</v>
      </c>
      <c r="D303" s="17" t="s">
        <v>434</v>
      </c>
      <c r="E303" s="18">
        <v>5</v>
      </c>
      <c r="F303" s="177"/>
      <c r="G303" s="192"/>
    </row>
    <row r="304" spans="1:7">
      <c r="A304" s="197"/>
      <c r="B304" s="177"/>
      <c r="C304" s="17" t="s">
        <v>571</v>
      </c>
      <c r="D304" s="17" t="s">
        <v>436</v>
      </c>
      <c r="E304" s="18">
        <v>2</v>
      </c>
      <c r="F304" s="177"/>
      <c r="G304" s="192"/>
    </row>
    <row r="305" spans="1:7">
      <c r="A305" s="197"/>
      <c r="B305" s="177"/>
      <c r="C305" s="17" t="s">
        <v>572</v>
      </c>
      <c r="D305" s="17" t="s">
        <v>438</v>
      </c>
      <c r="E305" s="18">
        <v>1</v>
      </c>
      <c r="F305" s="177"/>
      <c r="G305" s="192"/>
    </row>
    <row r="306" spans="1:7">
      <c r="A306" s="197" t="s">
        <v>97</v>
      </c>
      <c r="B306" s="177" t="s">
        <v>98</v>
      </c>
      <c r="C306" s="23" t="s">
        <v>423</v>
      </c>
      <c r="D306" s="23" t="s">
        <v>424</v>
      </c>
      <c r="E306" s="23" t="s">
        <v>425</v>
      </c>
      <c r="F306" s="23" t="s">
        <v>426</v>
      </c>
      <c r="G306" s="65" t="s">
        <v>427</v>
      </c>
    </row>
    <row r="307" spans="1:7">
      <c r="A307" s="197"/>
      <c r="B307" s="177"/>
      <c r="C307" s="17" t="s">
        <v>544</v>
      </c>
      <c r="D307" s="17" t="s">
        <v>429</v>
      </c>
      <c r="E307" s="18">
        <v>3</v>
      </c>
      <c r="F307" s="177" t="s">
        <v>545</v>
      </c>
      <c r="G307" s="192">
        <f>'Sprint Backlog - 27-06-25'!$G$72*4</f>
        <v>20</v>
      </c>
    </row>
    <row r="308" spans="1:7">
      <c r="A308" s="197"/>
      <c r="B308" s="177"/>
      <c r="C308" s="17" t="s">
        <v>546</v>
      </c>
      <c r="D308" s="17" t="s">
        <v>432</v>
      </c>
      <c r="E308" s="18">
        <v>8</v>
      </c>
      <c r="F308" s="177"/>
      <c r="G308" s="192"/>
    </row>
    <row r="309" spans="1:7">
      <c r="A309" s="197"/>
      <c r="B309" s="177"/>
      <c r="C309" s="17" t="s">
        <v>547</v>
      </c>
      <c r="D309" s="17" t="s">
        <v>434</v>
      </c>
      <c r="E309" s="18">
        <v>6</v>
      </c>
      <c r="F309" s="177"/>
      <c r="G309" s="192"/>
    </row>
    <row r="310" spans="1:7">
      <c r="A310" s="197"/>
      <c r="B310" s="177"/>
      <c r="C310" s="17" t="s">
        <v>548</v>
      </c>
      <c r="D310" s="17" t="s">
        <v>436</v>
      </c>
      <c r="E310" s="18">
        <v>2</v>
      </c>
      <c r="F310" s="177"/>
      <c r="G310" s="192"/>
    </row>
    <row r="311" spans="1:7">
      <c r="A311" s="198"/>
      <c r="B311" s="201"/>
      <c r="C311" s="148" t="s">
        <v>549</v>
      </c>
      <c r="D311" s="67" t="s">
        <v>438</v>
      </c>
      <c r="E311" s="66">
        <v>1</v>
      </c>
      <c r="F311" s="201"/>
      <c r="G311" s="193"/>
    </row>
    <row r="313" spans="1:7">
      <c r="A313" s="194" t="s">
        <v>708</v>
      </c>
      <c r="B313" s="195"/>
      <c r="C313" s="195"/>
      <c r="D313" s="195"/>
      <c r="E313" s="195"/>
      <c r="F313" s="195"/>
      <c r="G313" s="196"/>
    </row>
    <row r="314" spans="1:7">
      <c r="A314" s="64" t="s">
        <v>1</v>
      </c>
      <c r="B314" s="23" t="s">
        <v>422</v>
      </c>
      <c r="C314" s="23" t="s">
        <v>423</v>
      </c>
      <c r="D314" s="23" t="s">
        <v>424</v>
      </c>
      <c r="E314" s="23" t="s">
        <v>425</v>
      </c>
      <c r="F314" s="23" t="s">
        <v>426</v>
      </c>
      <c r="G314" s="65" t="s">
        <v>427</v>
      </c>
    </row>
    <row r="315" spans="1:7">
      <c r="A315" s="197" t="s">
        <v>155</v>
      </c>
      <c r="B315" s="177" t="s">
        <v>156</v>
      </c>
      <c r="C315" s="17" t="s">
        <v>654</v>
      </c>
      <c r="D315" s="17" t="s">
        <v>429</v>
      </c>
      <c r="E315" s="18">
        <v>1</v>
      </c>
      <c r="F315" s="177" t="s">
        <v>655</v>
      </c>
      <c r="G315" s="192">
        <f>'Sprint Backlog - 27-06-25'!$G$77*4</f>
        <v>32</v>
      </c>
    </row>
    <row r="316" spans="1:7">
      <c r="A316" s="197"/>
      <c r="B316" s="177"/>
      <c r="C316" s="53" t="s">
        <v>656</v>
      </c>
      <c r="D316" s="17" t="s">
        <v>432</v>
      </c>
      <c r="E316" s="18">
        <v>7</v>
      </c>
      <c r="F316" s="177"/>
      <c r="G316" s="192"/>
    </row>
    <row r="317" spans="1:7">
      <c r="A317" s="197"/>
      <c r="B317" s="177"/>
      <c r="C317" s="17" t="s">
        <v>657</v>
      </c>
      <c r="D317" s="17" t="s">
        <v>434</v>
      </c>
      <c r="E317" s="18">
        <v>21</v>
      </c>
      <c r="F317" s="177"/>
      <c r="G317" s="192"/>
    </row>
    <row r="318" spans="1:7">
      <c r="A318" s="197"/>
      <c r="B318" s="177"/>
      <c r="C318" s="17" t="s">
        <v>658</v>
      </c>
      <c r="D318" s="17" t="s">
        <v>436</v>
      </c>
      <c r="E318" s="18">
        <v>2</v>
      </c>
      <c r="F318" s="177"/>
      <c r="G318" s="192"/>
    </row>
    <row r="319" spans="1:7">
      <c r="A319" s="197"/>
      <c r="B319" s="177"/>
      <c r="C319" s="17" t="s">
        <v>659</v>
      </c>
      <c r="D319" s="17" t="s">
        <v>438</v>
      </c>
      <c r="E319" s="18">
        <v>1</v>
      </c>
      <c r="F319" s="177"/>
      <c r="G319" s="192"/>
    </row>
    <row r="320" spans="1:7">
      <c r="A320" s="197" t="s">
        <v>168</v>
      </c>
      <c r="B320" s="177" t="s">
        <v>169</v>
      </c>
      <c r="C320" s="23" t="s">
        <v>423</v>
      </c>
      <c r="D320" s="23" t="s">
        <v>424</v>
      </c>
      <c r="E320" s="23" t="s">
        <v>425</v>
      </c>
      <c r="F320" s="23" t="s">
        <v>426</v>
      </c>
      <c r="G320" s="65" t="s">
        <v>427</v>
      </c>
    </row>
    <row r="321" spans="1:7">
      <c r="A321" s="197"/>
      <c r="B321" s="177"/>
      <c r="C321" s="17" t="s">
        <v>666</v>
      </c>
      <c r="D321" s="17" t="s">
        <v>429</v>
      </c>
      <c r="E321" s="18">
        <v>2</v>
      </c>
      <c r="F321" s="177" t="s">
        <v>667</v>
      </c>
      <c r="G321" s="192">
        <f>'Sprint Backlog - 27-06-25'!$G$78*4</f>
        <v>12</v>
      </c>
    </row>
    <row r="322" spans="1:7">
      <c r="A322" s="197"/>
      <c r="B322" s="177"/>
      <c r="C322" s="17" t="s">
        <v>668</v>
      </c>
      <c r="D322" s="17" t="s">
        <v>432</v>
      </c>
      <c r="E322" s="18">
        <v>4</v>
      </c>
      <c r="F322" s="177"/>
      <c r="G322" s="192"/>
    </row>
    <row r="323" spans="1:7">
      <c r="A323" s="197"/>
      <c r="B323" s="177"/>
      <c r="C323" s="53" t="s">
        <v>669</v>
      </c>
      <c r="D323" s="17" t="s">
        <v>434</v>
      </c>
      <c r="E323" s="18">
        <v>4</v>
      </c>
      <c r="F323" s="177"/>
      <c r="G323" s="192"/>
    </row>
    <row r="324" spans="1:7">
      <c r="A324" s="197"/>
      <c r="B324" s="177"/>
      <c r="C324" s="53" t="s">
        <v>670</v>
      </c>
      <c r="D324" s="17" t="s">
        <v>436</v>
      </c>
      <c r="E324" s="18">
        <v>1</v>
      </c>
      <c r="F324" s="177"/>
      <c r="G324" s="192"/>
    </row>
    <row r="325" spans="1:7">
      <c r="A325" s="197"/>
      <c r="B325" s="177"/>
      <c r="C325" s="17" t="s">
        <v>671</v>
      </c>
      <c r="D325" s="17" t="s">
        <v>438</v>
      </c>
      <c r="E325" s="18">
        <v>1</v>
      </c>
      <c r="F325" s="177"/>
      <c r="G325" s="192"/>
    </row>
    <row r="326" spans="1:7">
      <c r="A326" s="197" t="s">
        <v>190</v>
      </c>
      <c r="B326" s="199" t="s">
        <v>191</v>
      </c>
      <c r="C326" s="23" t="s">
        <v>423</v>
      </c>
      <c r="D326" s="23" t="s">
        <v>424</v>
      </c>
      <c r="E326" s="23" t="s">
        <v>425</v>
      </c>
      <c r="F326" s="23" t="s">
        <v>426</v>
      </c>
      <c r="G326" s="65" t="s">
        <v>427</v>
      </c>
    </row>
    <row r="327" spans="1:7">
      <c r="A327" s="197"/>
      <c r="B327" s="199"/>
      <c r="C327" s="17" t="s">
        <v>696</v>
      </c>
      <c r="D327" s="17" t="s">
        <v>429</v>
      </c>
      <c r="E327" s="18">
        <v>1</v>
      </c>
      <c r="F327" s="177" t="s">
        <v>697</v>
      </c>
      <c r="G327" s="192">
        <f>'Sprint Backlog - 27-06-25'!$G$79*4</f>
        <v>20</v>
      </c>
    </row>
    <row r="328" spans="1:7">
      <c r="A328" s="197"/>
      <c r="B328" s="199"/>
      <c r="C328" s="17" t="s">
        <v>698</v>
      </c>
      <c r="D328" s="17" t="s">
        <v>432</v>
      </c>
      <c r="E328" s="18">
        <v>6</v>
      </c>
      <c r="F328" s="177"/>
      <c r="G328" s="192"/>
    </row>
    <row r="329" spans="1:7">
      <c r="A329" s="197"/>
      <c r="B329" s="199"/>
      <c r="C329" s="17" t="s">
        <v>699</v>
      </c>
      <c r="D329" s="17" t="s">
        <v>434</v>
      </c>
      <c r="E329" s="18">
        <v>10</v>
      </c>
      <c r="F329" s="177"/>
      <c r="G329" s="192"/>
    </row>
    <row r="330" spans="1:7">
      <c r="A330" s="197"/>
      <c r="B330" s="199"/>
      <c r="C330" s="17" t="s">
        <v>700</v>
      </c>
      <c r="D330" s="17" t="s">
        <v>436</v>
      </c>
      <c r="E330" s="18">
        <v>2</v>
      </c>
      <c r="F330" s="177"/>
      <c r="G330" s="192"/>
    </row>
    <row r="331" spans="1:7">
      <c r="A331" s="197"/>
      <c r="B331" s="199"/>
      <c r="C331" s="17" t="s">
        <v>701</v>
      </c>
      <c r="D331" s="17" t="s">
        <v>438</v>
      </c>
      <c r="E331" s="18">
        <v>1</v>
      </c>
      <c r="F331" s="177"/>
      <c r="G331" s="192"/>
    </row>
    <row r="332" spans="1:7">
      <c r="A332" s="197" t="s">
        <v>205</v>
      </c>
      <c r="B332" s="199" t="s">
        <v>206</v>
      </c>
      <c r="C332" s="23" t="s">
        <v>423</v>
      </c>
      <c r="D332" s="23" t="s">
        <v>424</v>
      </c>
      <c r="E332" s="23" t="s">
        <v>425</v>
      </c>
      <c r="F332" s="23" t="s">
        <v>426</v>
      </c>
      <c r="G332" s="65" t="s">
        <v>427</v>
      </c>
    </row>
    <row r="333" spans="1:7">
      <c r="A333" s="197"/>
      <c r="B333" s="199"/>
      <c r="C333" s="53" t="s">
        <v>715</v>
      </c>
      <c r="D333" s="17" t="s">
        <v>429</v>
      </c>
      <c r="E333" s="18">
        <v>1</v>
      </c>
      <c r="F333" s="177" t="s">
        <v>716</v>
      </c>
      <c r="G333" s="192">
        <f>'Sprint Backlog - 27-06-25'!$G$80*4</f>
        <v>4</v>
      </c>
    </row>
    <row r="334" spans="1:7">
      <c r="A334" s="197"/>
      <c r="B334" s="199"/>
      <c r="C334" s="17" t="s">
        <v>717</v>
      </c>
      <c r="D334" s="17" t="s">
        <v>432</v>
      </c>
      <c r="E334" s="18" t="s">
        <v>718</v>
      </c>
      <c r="F334" s="177"/>
      <c r="G334" s="192"/>
    </row>
    <row r="335" spans="1:7">
      <c r="A335" s="197"/>
      <c r="B335" s="199"/>
      <c r="C335" s="17" t="s">
        <v>719</v>
      </c>
      <c r="D335" s="17" t="s">
        <v>434</v>
      </c>
      <c r="E335" s="18">
        <v>2</v>
      </c>
      <c r="F335" s="177"/>
      <c r="G335" s="192"/>
    </row>
    <row r="336" spans="1:7">
      <c r="A336" s="197"/>
      <c r="B336" s="199"/>
      <c r="C336" s="17" t="s">
        <v>720</v>
      </c>
      <c r="D336" s="17" t="s">
        <v>436</v>
      </c>
      <c r="E336" s="18" t="s">
        <v>718</v>
      </c>
      <c r="F336" s="177"/>
      <c r="G336" s="192"/>
    </row>
    <row r="337" spans="1:7">
      <c r="A337" s="197"/>
      <c r="B337" s="199"/>
      <c r="C337" s="17" t="s">
        <v>499</v>
      </c>
      <c r="D337" s="17" t="s">
        <v>438</v>
      </c>
      <c r="E337" s="18">
        <v>1</v>
      </c>
      <c r="F337" s="177"/>
      <c r="G337" s="192"/>
    </row>
    <row r="338" spans="1:7">
      <c r="A338" s="197" t="s">
        <v>209</v>
      </c>
      <c r="B338" s="177" t="s">
        <v>210</v>
      </c>
      <c r="C338" s="23" t="s">
        <v>423</v>
      </c>
      <c r="D338" s="23" t="s">
        <v>424</v>
      </c>
      <c r="E338" s="23" t="s">
        <v>425</v>
      </c>
      <c r="F338" s="23" t="s">
        <v>426</v>
      </c>
      <c r="G338" s="65" t="s">
        <v>427</v>
      </c>
    </row>
    <row r="339" spans="1:7">
      <c r="A339" s="197"/>
      <c r="B339" s="177"/>
      <c r="C339" s="17" t="s">
        <v>721</v>
      </c>
      <c r="D339" s="17" t="s">
        <v>429</v>
      </c>
      <c r="E339" s="18">
        <v>1</v>
      </c>
      <c r="F339" s="177" t="s">
        <v>722</v>
      </c>
      <c r="G339" s="192">
        <f>'Sprint Backlog - 27-06-25'!$G$81*4</f>
        <v>4</v>
      </c>
    </row>
    <row r="340" spans="1:7">
      <c r="A340" s="197"/>
      <c r="B340" s="177"/>
      <c r="C340" s="17" t="s">
        <v>723</v>
      </c>
      <c r="D340" s="17" t="s">
        <v>432</v>
      </c>
      <c r="E340" s="18">
        <v>1</v>
      </c>
      <c r="F340" s="177"/>
      <c r="G340" s="192"/>
    </row>
    <row r="341" spans="1:7">
      <c r="A341" s="197"/>
      <c r="B341" s="177"/>
      <c r="C341" s="58"/>
      <c r="D341" s="17" t="s">
        <v>434</v>
      </c>
      <c r="E341" s="18"/>
      <c r="F341" s="177"/>
      <c r="G341" s="192"/>
    </row>
    <row r="342" spans="1:7">
      <c r="A342" s="197"/>
      <c r="B342" s="177"/>
      <c r="C342" s="53" t="s">
        <v>724</v>
      </c>
      <c r="D342" s="17" t="s">
        <v>436</v>
      </c>
      <c r="E342" s="18">
        <v>1</v>
      </c>
      <c r="F342" s="177"/>
      <c r="G342" s="192"/>
    </row>
    <row r="343" spans="1:7">
      <c r="A343" s="197"/>
      <c r="B343" s="177"/>
      <c r="C343" s="53" t="s">
        <v>725</v>
      </c>
      <c r="D343" s="17" t="s">
        <v>438</v>
      </c>
      <c r="E343" s="18">
        <v>1</v>
      </c>
      <c r="F343" s="177"/>
      <c r="G343" s="192"/>
    </row>
    <row r="344" spans="1:7">
      <c r="A344" s="197" t="s">
        <v>235</v>
      </c>
      <c r="B344" s="177" t="s">
        <v>236</v>
      </c>
      <c r="C344" s="23" t="s">
        <v>423</v>
      </c>
      <c r="D344" s="23" t="s">
        <v>424</v>
      </c>
      <c r="E344" s="23" t="s">
        <v>425</v>
      </c>
      <c r="F344" s="23" t="s">
        <v>426</v>
      </c>
      <c r="G344" s="65" t="s">
        <v>427</v>
      </c>
    </row>
    <row r="345" spans="1:7">
      <c r="A345" s="197"/>
      <c r="B345" s="177"/>
      <c r="C345" s="17" t="s">
        <v>752</v>
      </c>
      <c r="D345" s="17" t="s">
        <v>429</v>
      </c>
      <c r="E345" s="18">
        <v>2</v>
      </c>
      <c r="F345" s="177" t="s">
        <v>753</v>
      </c>
      <c r="G345" s="192">
        <f>'Sprint Backlog - 27-06-25'!$G$82*4</f>
        <v>8</v>
      </c>
    </row>
    <row r="346" spans="1:7">
      <c r="A346" s="197"/>
      <c r="B346" s="177"/>
      <c r="C346" s="17" t="s">
        <v>754</v>
      </c>
      <c r="D346" s="17" t="s">
        <v>432</v>
      </c>
      <c r="E346" s="18">
        <v>2</v>
      </c>
      <c r="F346" s="177"/>
      <c r="G346" s="192"/>
    </row>
    <row r="347" spans="1:7">
      <c r="A347" s="197"/>
      <c r="B347" s="177"/>
      <c r="C347" s="17" t="s">
        <v>755</v>
      </c>
      <c r="D347" s="17" t="s">
        <v>434</v>
      </c>
      <c r="E347" s="18">
        <v>2</v>
      </c>
      <c r="F347" s="177"/>
      <c r="G347" s="192"/>
    </row>
    <row r="348" spans="1:7">
      <c r="A348" s="197"/>
      <c r="B348" s="177"/>
      <c r="C348" s="17" t="s">
        <v>756</v>
      </c>
      <c r="D348" s="17" t="s">
        <v>436</v>
      </c>
      <c r="E348" s="18">
        <v>1</v>
      </c>
      <c r="F348" s="177"/>
      <c r="G348" s="192"/>
    </row>
    <row r="349" spans="1:7">
      <c r="A349" s="198"/>
      <c r="B349" s="201"/>
      <c r="C349" s="67" t="s">
        <v>508</v>
      </c>
      <c r="D349" s="67" t="s">
        <v>438</v>
      </c>
      <c r="E349" s="66">
        <v>1</v>
      </c>
      <c r="F349" s="201"/>
      <c r="G349" s="193"/>
    </row>
    <row r="350" spans="1:7">
      <c r="A350" s="31"/>
      <c r="B350" s="31"/>
      <c r="C350" s="4"/>
      <c r="D350" s="4"/>
      <c r="E350" s="31"/>
      <c r="F350" s="31"/>
      <c r="G350" s="31"/>
    </row>
    <row r="351" spans="1:7">
      <c r="A351" s="194" t="s">
        <v>746</v>
      </c>
      <c r="B351" s="195"/>
      <c r="C351" s="195"/>
      <c r="D351" s="195"/>
      <c r="E351" s="195"/>
      <c r="F351" s="195"/>
      <c r="G351" s="196"/>
    </row>
    <row r="352" spans="1:7" ht="15" customHeight="1">
      <c r="A352" s="64" t="s">
        <v>1</v>
      </c>
      <c r="B352" s="23" t="s">
        <v>422</v>
      </c>
      <c r="C352" s="23" t="s">
        <v>423</v>
      </c>
      <c r="D352" s="23" t="s">
        <v>424</v>
      </c>
      <c r="E352" s="23" t="s">
        <v>425</v>
      </c>
      <c r="F352" s="23" t="s">
        <v>426</v>
      </c>
      <c r="G352" s="65" t="s">
        <v>427</v>
      </c>
    </row>
    <row r="353" spans="1:7" ht="30.75" customHeight="1">
      <c r="A353" s="197" t="s">
        <v>253</v>
      </c>
      <c r="B353" s="177" t="s">
        <v>254</v>
      </c>
      <c r="C353" s="17" t="s">
        <v>590</v>
      </c>
      <c r="D353" s="17" t="s">
        <v>429</v>
      </c>
      <c r="E353" s="18">
        <v>1</v>
      </c>
      <c r="F353" s="177" t="s">
        <v>591</v>
      </c>
      <c r="G353" s="192">
        <f>'Sprint Backlog - 27-06-25'!$G$83*4</f>
        <v>8</v>
      </c>
    </row>
    <row r="354" spans="1:7">
      <c r="A354" s="197"/>
      <c r="B354" s="177"/>
      <c r="C354" s="17" t="s">
        <v>592</v>
      </c>
      <c r="D354" s="17" t="s">
        <v>432</v>
      </c>
      <c r="E354" s="18">
        <v>2</v>
      </c>
      <c r="F354" s="177"/>
      <c r="G354" s="192"/>
    </row>
    <row r="355" spans="1:7">
      <c r="A355" s="197"/>
      <c r="B355" s="177"/>
      <c r="C355" s="17" t="s">
        <v>593</v>
      </c>
      <c r="D355" s="17" t="s">
        <v>434</v>
      </c>
      <c r="E355" s="18">
        <v>3</v>
      </c>
      <c r="F355" s="177"/>
      <c r="G355" s="192"/>
    </row>
    <row r="356" spans="1:7">
      <c r="A356" s="197"/>
      <c r="B356" s="177"/>
      <c r="C356" s="17" t="s">
        <v>594</v>
      </c>
      <c r="D356" s="17" t="s">
        <v>436</v>
      </c>
      <c r="E356" s="18">
        <v>1</v>
      </c>
      <c r="F356" s="177"/>
      <c r="G356" s="192"/>
    </row>
    <row r="357" spans="1:7">
      <c r="A357" s="197"/>
      <c r="B357" s="177"/>
      <c r="C357" s="17" t="s">
        <v>595</v>
      </c>
      <c r="D357" s="17" t="s">
        <v>438</v>
      </c>
      <c r="E357" s="18">
        <v>1</v>
      </c>
      <c r="F357" s="177"/>
      <c r="G357" s="192"/>
    </row>
    <row r="358" spans="1:7">
      <c r="A358" s="197" t="s">
        <v>261</v>
      </c>
      <c r="B358" s="177" t="s">
        <v>262</v>
      </c>
      <c r="C358" s="23" t="s">
        <v>423</v>
      </c>
      <c r="D358" s="23" t="s">
        <v>424</v>
      </c>
      <c r="E358" s="23" t="s">
        <v>425</v>
      </c>
      <c r="F358" s="23" t="s">
        <v>426</v>
      </c>
      <c r="G358" s="65" t="s">
        <v>427</v>
      </c>
    </row>
    <row r="359" spans="1:7">
      <c r="A359" s="197"/>
      <c r="B359" s="177"/>
      <c r="C359" s="17" t="s">
        <v>599</v>
      </c>
      <c r="D359" s="17" t="s">
        <v>429</v>
      </c>
      <c r="E359" s="18">
        <v>1</v>
      </c>
      <c r="F359" s="177" t="s">
        <v>600</v>
      </c>
      <c r="G359" s="192">
        <f>'Sprint Backlog - 27-06-25'!$G$87*4</f>
        <v>8</v>
      </c>
    </row>
    <row r="360" spans="1:7">
      <c r="A360" s="197"/>
      <c r="B360" s="177"/>
      <c r="C360" s="17" t="s">
        <v>601</v>
      </c>
      <c r="D360" s="17" t="s">
        <v>432</v>
      </c>
      <c r="E360" s="18">
        <v>3</v>
      </c>
      <c r="F360" s="177"/>
      <c r="G360" s="192"/>
    </row>
    <row r="361" spans="1:7">
      <c r="A361" s="197"/>
      <c r="B361" s="177"/>
      <c r="C361" s="17" t="s">
        <v>602</v>
      </c>
      <c r="D361" s="17" t="s">
        <v>434</v>
      </c>
      <c r="E361" s="18">
        <v>2</v>
      </c>
      <c r="F361" s="177"/>
      <c r="G361" s="192"/>
    </row>
    <row r="362" spans="1:7">
      <c r="A362" s="197"/>
      <c r="B362" s="177"/>
      <c r="C362" s="17" t="s">
        <v>498</v>
      </c>
      <c r="D362" s="17" t="s">
        <v>436</v>
      </c>
      <c r="E362" s="18">
        <v>1</v>
      </c>
      <c r="F362" s="177"/>
      <c r="G362" s="192"/>
    </row>
    <row r="363" spans="1:7">
      <c r="A363" s="197"/>
      <c r="B363" s="177"/>
      <c r="C363" s="17" t="s">
        <v>499</v>
      </c>
      <c r="D363" s="17" t="s">
        <v>438</v>
      </c>
      <c r="E363" s="18">
        <v>1</v>
      </c>
      <c r="F363" s="177"/>
      <c r="G363" s="192"/>
    </row>
    <row r="364" spans="1:7">
      <c r="A364" s="197" t="s">
        <v>61</v>
      </c>
      <c r="B364" s="177" t="s">
        <v>62</v>
      </c>
      <c r="C364" s="23" t="s">
        <v>423</v>
      </c>
      <c r="D364" s="23" t="s">
        <v>424</v>
      </c>
      <c r="E364" s="23" t="s">
        <v>425</v>
      </c>
      <c r="F364" s="23" t="s">
        <v>426</v>
      </c>
      <c r="G364" s="65" t="s">
        <v>427</v>
      </c>
    </row>
    <row r="365" spans="1:7">
      <c r="A365" s="197"/>
      <c r="B365" s="177"/>
      <c r="C365" s="17" t="s">
        <v>503</v>
      </c>
      <c r="D365" s="17" t="s">
        <v>429</v>
      </c>
      <c r="E365" s="18">
        <v>1</v>
      </c>
      <c r="F365" s="177" t="s">
        <v>504</v>
      </c>
      <c r="G365" s="192">
        <f>'Sprint Backlog - 27-06-25'!$G$88*4</f>
        <v>12</v>
      </c>
    </row>
    <row r="366" spans="1:7">
      <c r="A366" s="197"/>
      <c r="B366" s="177"/>
      <c r="C366" s="17" t="s">
        <v>505</v>
      </c>
      <c r="D366" s="17" t="s">
        <v>432</v>
      </c>
      <c r="E366" s="18">
        <v>4</v>
      </c>
      <c r="F366" s="177"/>
      <c r="G366" s="192"/>
    </row>
    <row r="367" spans="1:7">
      <c r="A367" s="197"/>
      <c r="B367" s="177"/>
      <c r="C367" s="53" t="s">
        <v>506</v>
      </c>
      <c r="D367" s="17" t="s">
        <v>434</v>
      </c>
      <c r="E367" s="18">
        <v>5</v>
      </c>
      <c r="F367" s="177"/>
      <c r="G367" s="192"/>
    </row>
    <row r="368" spans="1:7">
      <c r="A368" s="197"/>
      <c r="B368" s="177"/>
      <c r="C368" s="53" t="s">
        <v>507</v>
      </c>
      <c r="D368" s="17" t="s">
        <v>436</v>
      </c>
      <c r="E368" s="18">
        <v>1</v>
      </c>
      <c r="F368" s="177"/>
      <c r="G368" s="192"/>
    </row>
    <row r="369" spans="1:7">
      <c r="A369" s="197"/>
      <c r="B369" s="177"/>
      <c r="C369" s="17" t="s">
        <v>508</v>
      </c>
      <c r="D369" s="17" t="s">
        <v>438</v>
      </c>
      <c r="E369" s="18">
        <v>1</v>
      </c>
      <c r="F369" s="177"/>
      <c r="G369" s="192"/>
    </row>
    <row r="370" spans="1:7">
      <c r="A370" s="197" t="s">
        <v>65</v>
      </c>
      <c r="B370" s="177" t="s">
        <v>66</v>
      </c>
      <c r="C370" s="23" t="s">
        <v>423</v>
      </c>
      <c r="D370" s="23" t="s">
        <v>424</v>
      </c>
      <c r="E370" s="23" t="s">
        <v>425</v>
      </c>
      <c r="F370" s="23" t="s">
        <v>426</v>
      </c>
      <c r="G370" s="65" t="s">
        <v>427</v>
      </c>
    </row>
    <row r="371" spans="1:7">
      <c r="A371" s="197"/>
      <c r="B371" s="177"/>
      <c r="C371" s="17" t="s">
        <v>509</v>
      </c>
      <c r="D371" s="17" t="s">
        <v>429</v>
      </c>
      <c r="E371" s="18">
        <v>1</v>
      </c>
      <c r="F371" s="177" t="s">
        <v>510</v>
      </c>
      <c r="G371" s="192">
        <f>'Sprint Backlog - 27-06-25'!$G$89*4</f>
        <v>8</v>
      </c>
    </row>
    <row r="372" spans="1:7">
      <c r="A372" s="197"/>
      <c r="B372" s="177"/>
      <c r="C372" s="17" t="s">
        <v>511</v>
      </c>
      <c r="D372" s="17" t="s">
        <v>432</v>
      </c>
      <c r="E372" s="18">
        <v>2</v>
      </c>
      <c r="F372" s="177"/>
      <c r="G372" s="192"/>
    </row>
    <row r="373" spans="1:7">
      <c r="A373" s="197"/>
      <c r="B373" s="177"/>
      <c r="C373" s="53" t="s">
        <v>512</v>
      </c>
      <c r="D373" s="17" t="s">
        <v>434</v>
      </c>
      <c r="E373" s="18">
        <v>3</v>
      </c>
      <c r="F373" s="177"/>
      <c r="G373" s="192"/>
    </row>
    <row r="374" spans="1:7">
      <c r="A374" s="197"/>
      <c r="B374" s="177"/>
      <c r="C374" s="53" t="s">
        <v>507</v>
      </c>
      <c r="D374" s="17" t="s">
        <v>436</v>
      </c>
      <c r="E374" s="18">
        <v>1</v>
      </c>
      <c r="F374" s="177"/>
      <c r="G374" s="192"/>
    </row>
    <row r="375" spans="1:7">
      <c r="A375" s="197"/>
      <c r="B375" s="177"/>
      <c r="C375" s="17" t="s">
        <v>508</v>
      </c>
      <c r="D375" s="17" t="s">
        <v>438</v>
      </c>
      <c r="E375" s="18">
        <v>1</v>
      </c>
      <c r="F375" s="177"/>
      <c r="G375" s="192"/>
    </row>
    <row r="376" spans="1:7">
      <c r="A376" s="197" t="s">
        <v>138</v>
      </c>
      <c r="B376" s="199" t="s">
        <v>139</v>
      </c>
      <c r="C376" s="23" t="s">
        <v>423</v>
      </c>
      <c r="D376" s="23" t="s">
        <v>424</v>
      </c>
      <c r="E376" s="23" t="s">
        <v>425</v>
      </c>
      <c r="F376" s="23" t="s">
        <v>426</v>
      </c>
      <c r="G376" s="65" t="s">
        <v>427</v>
      </c>
    </row>
    <row r="377" spans="1:7">
      <c r="A377" s="197"/>
      <c r="B377" s="199"/>
      <c r="C377" s="17" t="s">
        <v>622</v>
      </c>
      <c r="D377" s="17" t="s">
        <v>429</v>
      </c>
      <c r="E377" s="18">
        <v>3</v>
      </c>
      <c r="F377" s="177" t="s">
        <v>623</v>
      </c>
      <c r="G377" s="192">
        <f>'Sprint Backlog - 27-06-25'!$G$73*4</f>
        <v>52</v>
      </c>
    </row>
    <row r="378" spans="1:7">
      <c r="A378" s="197"/>
      <c r="B378" s="199"/>
      <c r="C378" s="53" t="s">
        <v>624</v>
      </c>
      <c r="D378" s="17" t="s">
        <v>432</v>
      </c>
      <c r="E378" s="18">
        <v>8</v>
      </c>
      <c r="F378" s="177"/>
      <c r="G378" s="192"/>
    </row>
    <row r="379" spans="1:7">
      <c r="A379" s="197"/>
      <c r="B379" s="199"/>
      <c r="C379" s="17" t="s">
        <v>625</v>
      </c>
      <c r="D379" s="17" t="s">
        <v>434</v>
      </c>
      <c r="E379" s="18">
        <v>36</v>
      </c>
      <c r="F379" s="177"/>
      <c r="G379" s="192"/>
    </row>
    <row r="380" spans="1:7">
      <c r="A380" s="197"/>
      <c r="B380" s="199"/>
      <c r="C380" s="17" t="s">
        <v>626</v>
      </c>
      <c r="D380" s="17" t="s">
        <v>436</v>
      </c>
      <c r="E380" s="18">
        <v>3</v>
      </c>
      <c r="F380" s="177"/>
      <c r="G380" s="192"/>
    </row>
    <row r="381" spans="1:7">
      <c r="A381" s="198"/>
      <c r="B381" s="200"/>
      <c r="C381" s="67" t="s">
        <v>627</v>
      </c>
      <c r="D381" s="67" t="s">
        <v>438</v>
      </c>
      <c r="E381" s="66">
        <v>2</v>
      </c>
      <c r="F381" s="201"/>
      <c r="G381" s="193"/>
    </row>
  </sheetData>
  <mergeCells count="251">
    <mergeCell ref="A14:A19"/>
    <mergeCell ref="B14:B19"/>
    <mergeCell ref="F15:F19"/>
    <mergeCell ref="G15:G19"/>
    <mergeCell ref="A20:A25"/>
    <mergeCell ref="B20:B25"/>
    <mergeCell ref="F21:F25"/>
    <mergeCell ref="G21:G25"/>
    <mergeCell ref="A1:G1"/>
    <mergeCell ref="A3:A7"/>
    <mergeCell ref="B3:B7"/>
    <mergeCell ref="F3:F7"/>
    <mergeCell ref="G3:G7"/>
    <mergeCell ref="A8:A13"/>
    <mergeCell ref="B8:B13"/>
    <mergeCell ref="F9:F13"/>
    <mergeCell ref="G9:G13"/>
    <mergeCell ref="A26:A31"/>
    <mergeCell ref="B26:B31"/>
    <mergeCell ref="F27:F31"/>
    <mergeCell ref="G27:G31"/>
    <mergeCell ref="A33:G33"/>
    <mergeCell ref="A35:A39"/>
    <mergeCell ref="B35:B39"/>
    <mergeCell ref="F35:F39"/>
    <mergeCell ref="G35:G39"/>
    <mergeCell ref="A52:A57"/>
    <mergeCell ref="B52:B57"/>
    <mergeCell ref="F53:F57"/>
    <mergeCell ref="G53:G57"/>
    <mergeCell ref="A58:A63"/>
    <mergeCell ref="B58:B63"/>
    <mergeCell ref="F59:F63"/>
    <mergeCell ref="G59:G63"/>
    <mergeCell ref="A40:A45"/>
    <mergeCell ref="B40:B45"/>
    <mergeCell ref="F41:F45"/>
    <mergeCell ref="G41:G45"/>
    <mergeCell ref="A46:A51"/>
    <mergeCell ref="B46:B51"/>
    <mergeCell ref="F47:F51"/>
    <mergeCell ref="G47:G51"/>
    <mergeCell ref="A65:G65"/>
    <mergeCell ref="A67:A71"/>
    <mergeCell ref="B67:B71"/>
    <mergeCell ref="F67:F71"/>
    <mergeCell ref="G67:G71"/>
    <mergeCell ref="A72:A77"/>
    <mergeCell ref="B72:B77"/>
    <mergeCell ref="F73:F77"/>
    <mergeCell ref="G73:G77"/>
    <mergeCell ref="A90:A95"/>
    <mergeCell ref="B90:B95"/>
    <mergeCell ref="F91:F95"/>
    <mergeCell ref="G91:G95"/>
    <mergeCell ref="A96:A101"/>
    <mergeCell ref="B96:B101"/>
    <mergeCell ref="F97:F101"/>
    <mergeCell ref="G97:G101"/>
    <mergeCell ref="A78:A83"/>
    <mergeCell ref="B78:B83"/>
    <mergeCell ref="F79:F83"/>
    <mergeCell ref="G79:G83"/>
    <mergeCell ref="A84:A89"/>
    <mergeCell ref="B84:B89"/>
    <mergeCell ref="F85:F89"/>
    <mergeCell ref="G85:G89"/>
    <mergeCell ref="A103:G103"/>
    <mergeCell ref="A105:A109"/>
    <mergeCell ref="F105:F109"/>
    <mergeCell ref="G105:G109"/>
    <mergeCell ref="A110:A115"/>
    <mergeCell ref="B110:B115"/>
    <mergeCell ref="F111:F115"/>
    <mergeCell ref="G111:G115"/>
    <mergeCell ref="B105:B109"/>
    <mergeCell ref="A128:A133"/>
    <mergeCell ref="B128:B133"/>
    <mergeCell ref="F129:F133"/>
    <mergeCell ref="G129:G133"/>
    <mergeCell ref="A134:A139"/>
    <mergeCell ref="B134:B139"/>
    <mergeCell ref="F135:F139"/>
    <mergeCell ref="G135:G139"/>
    <mergeCell ref="A116:A121"/>
    <mergeCell ref="B116:B121"/>
    <mergeCell ref="F117:F121"/>
    <mergeCell ref="G117:G121"/>
    <mergeCell ref="A122:A127"/>
    <mergeCell ref="B122:B127"/>
    <mergeCell ref="F123:F127"/>
    <mergeCell ref="G123:G127"/>
    <mergeCell ref="A140:A145"/>
    <mergeCell ref="B140:B145"/>
    <mergeCell ref="F141:F145"/>
    <mergeCell ref="G141:G145"/>
    <mergeCell ref="A147:G147"/>
    <mergeCell ref="A149:A153"/>
    <mergeCell ref="B149:B153"/>
    <mergeCell ref="F149:F153"/>
    <mergeCell ref="G149:G153"/>
    <mergeCell ref="A166:A171"/>
    <mergeCell ref="B166:B171"/>
    <mergeCell ref="F167:F171"/>
    <mergeCell ref="G167:G171"/>
    <mergeCell ref="A172:A177"/>
    <mergeCell ref="B172:B177"/>
    <mergeCell ref="F173:F177"/>
    <mergeCell ref="G173:G177"/>
    <mergeCell ref="A154:A159"/>
    <mergeCell ref="B154:B159"/>
    <mergeCell ref="F155:F159"/>
    <mergeCell ref="G155:G159"/>
    <mergeCell ref="A160:A165"/>
    <mergeCell ref="B160:B165"/>
    <mergeCell ref="F161:F165"/>
    <mergeCell ref="G161:G165"/>
    <mergeCell ref="A192:A197"/>
    <mergeCell ref="B192:B197"/>
    <mergeCell ref="F193:F197"/>
    <mergeCell ref="G193:G197"/>
    <mergeCell ref="A198:A203"/>
    <mergeCell ref="B198:B203"/>
    <mergeCell ref="F199:F203"/>
    <mergeCell ref="G199:G203"/>
    <mergeCell ref="A179:G179"/>
    <mergeCell ref="A181:A185"/>
    <mergeCell ref="B181:B185"/>
    <mergeCell ref="F181:F185"/>
    <mergeCell ref="G181:G185"/>
    <mergeCell ref="A186:A191"/>
    <mergeCell ref="B186:B191"/>
    <mergeCell ref="F187:F191"/>
    <mergeCell ref="G187:G191"/>
    <mergeCell ref="F219:F223"/>
    <mergeCell ref="G219:G223"/>
    <mergeCell ref="A224:A229"/>
    <mergeCell ref="B224:B229"/>
    <mergeCell ref="F225:F229"/>
    <mergeCell ref="G225:G229"/>
    <mergeCell ref="A204:A209"/>
    <mergeCell ref="B204:B209"/>
    <mergeCell ref="F205:F209"/>
    <mergeCell ref="G205:G209"/>
    <mergeCell ref="A211:G211"/>
    <mergeCell ref="A213:A217"/>
    <mergeCell ref="B213:B217"/>
    <mergeCell ref="F213:F217"/>
    <mergeCell ref="G213:G217"/>
    <mergeCell ref="B218:B223"/>
    <mergeCell ref="A218:A223"/>
    <mergeCell ref="A242:A247"/>
    <mergeCell ref="B242:B247"/>
    <mergeCell ref="F243:F247"/>
    <mergeCell ref="G243:G247"/>
    <mergeCell ref="A248:A253"/>
    <mergeCell ref="B248:B253"/>
    <mergeCell ref="F249:F253"/>
    <mergeCell ref="G249:G253"/>
    <mergeCell ref="A230:A235"/>
    <mergeCell ref="B230:B235"/>
    <mergeCell ref="F231:F235"/>
    <mergeCell ref="G231:G235"/>
    <mergeCell ref="A236:A241"/>
    <mergeCell ref="B236:B241"/>
    <mergeCell ref="F237:F241"/>
    <mergeCell ref="G237:G241"/>
    <mergeCell ref="A255:G255"/>
    <mergeCell ref="A257:A261"/>
    <mergeCell ref="B257:B261"/>
    <mergeCell ref="F257:F261"/>
    <mergeCell ref="G257:G261"/>
    <mergeCell ref="A262:A267"/>
    <mergeCell ref="B262:B267"/>
    <mergeCell ref="F263:F267"/>
    <mergeCell ref="G263:G267"/>
    <mergeCell ref="A280:A285"/>
    <mergeCell ref="B280:B285"/>
    <mergeCell ref="F281:F285"/>
    <mergeCell ref="G281:G285"/>
    <mergeCell ref="A286:A291"/>
    <mergeCell ref="B286:B291"/>
    <mergeCell ref="F287:F291"/>
    <mergeCell ref="G287:G291"/>
    <mergeCell ref="A268:A273"/>
    <mergeCell ref="B268:B273"/>
    <mergeCell ref="F269:F273"/>
    <mergeCell ref="G269:G273"/>
    <mergeCell ref="A274:A279"/>
    <mergeCell ref="B274:B279"/>
    <mergeCell ref="F275:F279"/>
    <mergeCell ref="G275:G279"/>
    <mergeCell ref="A293:G293"/>
    <mergeCell ref="A294:A299"/>
    <mergeCell ref="B294:B299"/>
    <mergeCell ref="F295:F299"/>
    <mergeCell ref="G295:G299"/>
    <mergeCell ref="A300:A305"/>
    <mergeCell ref="B300:B305"/>
    <mergeCell ref="F301:F305"/>
    <mergeCell ref="G301:G305"/>
    <mergeCell ref="A306:A311"/>
    <mergeCell ref="B306:B311"/>
    <mergeCell ref="F307:F311"/>
    <mergeCell ref="G307:G311"/>
    <mergeCell ref="A313:G313"/>
    <mergeCell ref="A315:A319"/>
    <mergeCell ref="B315:B319"/>
    <mergeCell ref="F315:F319"/>
    <mergeCell ref="G315:G319"/>
    <mergeCell ref="A332:A337"/>
    <mergeCell ref="B332:B337"/>
    <mergeCell ref="F333:F337"/>
    <mergeCell ref="G333:G337"/>
    <mergeCell ref="A338:A343"/>
    <mergeCell ref="B338:B343"/>
    <mergeCell ref="F339:F343"/>
    <mergeCell ref="G339:G343"/>
    <mergeCell ref="A320:A325"/>
    <mergeCell ref="B320:B325"/>
    <mergeCell ref="F321:F325"/>
    <mergeCell ref="G321:G325"/>
    <mergeCell ref="A326:A331"/>
    <mergeCell ref="B326:B331"/>
    <mergeCell ref="F327:F331"/>
    <mergeCell ref="G327:G331"/>
    <mergeCell ref="A344:A349"/>
    <mergeCell ref="B344:B349"/>
    <mergeCell ref="F345:F349"/>
    <mergeCell ref="G345:G349"/>
    <mergeCell ref="A351:G351"/>
    <mergeCell ref="A353:A357"/>
    <mergeCell ref="B353:B357"/>
    <mergeCell ref="F353:F357"/>
    <mergeCell ref="G353:G357"/>
    <mergeCell ref="A370:A375"/>
    <mergeCell ref="B370:B375"/>
    <mergeCell ref="F371:F375"/>
    <mergeCell ref="G371:G375"/>
    <mergeCell ref="A376:A381"/>
    <mergeCell ref="B376:B381"/>
    <mergeCell ref="F377:F381"/>
    <mergeCell ref="G377:G381"/>
    <mergeCell ref="A358:A363"/>
    <mergeCell ref="B358:B363"/>
    <mergeCell ref="F359:F363"/>
    <mergeCell ref="G359:G363"/>
    <mergeCell ref="A364:A369"/>
    <mergeCell ref="B364:B369"/>
    <mergeCell ref="F365:F369"/>
    <mergeCell ref="G365:G3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15C24-7473-477C-A706-84B601699563}">
  <dimension ref="A1:E61"/>
  <sheetViews>
    <sheetView workbookViewId="0">
      <selection activeCell="G4" sqref="G4"/>
    </sheetView>
  </sheetViews>
  <sheetFormatPr defaultColWidth="9.140625" defaultRowHeight="15"/>
  <cols>
    <col min="1" max="1" width="10.7109375" style="156" customWidth="1"/>
    <col min="2" max="2" width="11.140625" style="156" customWidth="1"/>
    <col min="3" max="3" width="46" style="156" customWidth="1"/>
    <col min="4" max="4" width="17.7109375" style="156" customWidth="1"/>
    <col min="5" max="16384" width="9.140625" style="156"/>
  </cols>
  <sheetData>
    <row r="1" spans="1:5">
      <c r="A1" s="152" t="s">
        <v>311</v>
      </c>
      <c r="B1" s="153" t="s">
        <v>771</v>
      </c>
      <c r="C1" s="153" t="s">
        <v>772</v>
      </c>
      <c r="D1" s="154" t="s">
        <v>773</v>
      </c>
      <c r="E1" s="155"/>
    </row>
    <row r="2" spans="1:5">
      <c r="A2" s="217" t="s">
        <v>316</v>
      </c>
      <c r="B2" s="219" t="s">
        <v>774</v>
      </c>
      <c r="C2" s="219" t="s">
        <v>775</v>
      </c>
      <c r="D2" s="150" t="s">
        <v>30</v>
      </c>
      <c r="E2" s="155"/>
    </row>
    <row r="3" spans="1:5">
      <c r="A3" s="217"/>
      <c r="B3" s="219"/>
      <c r="C3" s="219"/>
      <c r="D3" s="150" t="s">
        <v>39</v>
      </c>
      <c r="E3" s="155"/>
    </row>
    <row r="4" spans="1:5">
      <c r="A4" s="217"/>
      <c r="B4" s="219"/>
      <c r="C4" s="219"/>
      <c r="D4" s="150" t="s">
        <v>74</v>
      </c>
      <c r="E4" s="155"/>
    </row>
    <row r="5" spans="1:5">
      <c r="A5" s="217"/>
      <c r="B5" s="219"/>
      <c r="C5" s="219"/>
      <c r="D5" s="150" t="s">
        <v>177</v>
      </c>
      <c r="E5" s="155"/>
    </row>
    <row r="6" spans="1:5">
      <c r="A6" s="217"/>
      <c r="B6" s="219"/>
      <c r="C6" s="219"/>
      <c r="D6" s="150" t="s">
        <v>6</v>
      </c>
      <c r="E6" s="155"/>
    </row>
    <row r="7" spans="1:5">
      <c r="A7" s="217" t="s">
        <v>325</v>
      </c>
      <c r="B7" s="219" t="s">
        <v>774</v>
      </c>
      <c r="C7" s="219" t="s">
        <v>776</v>
      </c>
      <c r="D7" s="150" t="s">
        <v>12</v>
      </c>
      <c r="E7" s="155"/>
    </row>
    <row r="8" spans="1:5">
      <c r="A8" s="217"/>
      <c r="B8" s="219"/>
      <c r="C8" s="219"/>
      <c r="D8" s="150" t="s">
        <v>16</v>
      </c>
      <c r="E8" s="155"/>
    </row>
    <row r="9" spans="1:5">
      <c r="A9" s="217"/>
      <c r="B9" s="219"/>
      <c r="C9" s="219"/>
      <c r="D9" s="150" t="s">
        <v>181</v>
      </c>
      <c r="E9" s="155"/>
    </row>
    <row r="10" spans="1:5">
      <c r="A10" s="217"/>
      <c r="B10" s="219"/>
      <c r="C10" s="219"/>
      <c r="D10" s="150" t="s">
        <v>185</v>
      </c>
      <c r="E10" s="155"/>
    </row>
    <row r="11" spans="1:5">
      <c r="A11" s="217"/>
      <c r="B11" s="219"/>
      <c r="C11" s="219"/>
      <c r="D11" s="150" t="s">
        <v>159</v>
      </c>
      <c r="E11" s="155"/>
    </row>
    <row r="12" spans="1:5">
      <c r="A12" s="217" t="s">
        <v>331</v>
      </c>
      <c r="B12" s="219" t="s">
        <v>774</v>
      </c>
      <c r="C12" s="219" t="s">
        <v>777</v>
      </c>
      <c r="D12" s="150" t="s">
        <v>226</v>
      </c>
      <c r="E12" s="155"/>
    </row>
    <row r="13" spans="1:5">
      <c r="A13" s="217"/>
      <c r="B13" s="219"/>
      <c r="C13" s="219"/>
      <c r="D13" s="150" t="s">
        <v>249</v>
      </c>
      <c r="E13" s="155"/>
    </row>
    <row r="14" spans="1:5">
      <c r="A14" s="217"/>
      <c r="B14" s="219"/>
      <c r="C14" s="219"/>
      <c r="D14" s="150" t="s">
        <v>79</v>
      </c>
      <c r="E14" s="155"/>
    </row>
    <row r="15" spans="1:5">
      <c r="A15" s="217"/>
      <c r="B15" s="219"/>
      <c r="C15" s="219"/>
      <c r="D15" s="150" t="s">
        <v>83</v>
      </c>
      <c r="E15" s="155"/>
    </row>
    <row r="16" spans="1:5">
      <c r="A16" s="217"/>
      <c r="B16" s="219"/>
      <c r="C16" s="219"/>
      <c r="D16" s="150" t="s">
        <v>87</v>
      </c>
      <c r="E16" s="155"/>
    </row>
    <row r="17" spans="1:5">
      <c r="A17" s="217"/>
      <c r="B17" s="219"/>
      <c r="C17" s="219"/>
      <c r="D17" s="150" t="s">
        <v>266</v>
      </c>
      <c r="E17" s="155"/>
    </row>
    <row r="18" spans="1:5">
      <c r="A18" s="217" t="s">
        <v>337</v>
      </c>
      <c r="B18" s="219" t="s">
        <v>774</v>
      </c>
      <c r="C18" s="219" t="s">
        <v>778</v>
      </c>
      <c r="D18" s="150" t="s">
        <v>44</v>
      </c>
      <c r="E18" s="155"/>
    </row>
    <row r="19" spans="1:5">
      <c r="A19" s="217"/>
      <c r="B19" s="219"/>
      <c r="C19" s="219"/>
      <c r="D19" s="150" t="s">
        <v>35</v>
      </c>
      <c r="E19" s="155"/>
    </row>
    <row r="20" spans="1:5">
      <c r="A20" s="217"/>
      <c r="B20" s="219"/>
      <c r="C20" s="219"/>
      <c r="D20" s="150" t="s">
        <v>200</v>
      </c>
      <c r="E20" s="155"/>
    </row>
    <row r="21" spans="1:5">
      <c r="A21" s="217"/>
      <c r="B21" s="219"/>
      <c r="C21" s="219"/>
      <c r="D21" s="150" t="s">
        <v>25</v>
      </c>
      <c r="E21" s="155"/>
    </row>
    <row r="22" spans="1:5">
      <c r="A22" s="217"/>
      <c r="B22" s="219"/>
      <c r="C22" s="219"/>
      <c r="D22" s="150" t="s">
        <v>20</v>
      </c>
      <c r="E22" s="155"/>
    </row>
    <row r="23" spans="1:5">
      <c r="A23" s="217"/>
      <c r="B23" s="219"/>
      <c r="C23" s="219"/>
      <c r="D23" s="150" t="s">
        <v>120</v>
      </c>
      <c r="E23" s="155"/>
    </row>
    <row r="24" spans="1:5">
      <c r="A24" s="217"/>
      <c r="B24" s="219"/>
      <c r="C24" s="219"/>
      <c r="D24" s="150" t="s">
        <v>115</v>
      </c>
      <c r="E24" s="155"/>
    </row>
    <row r="25" spans="1:5">
      <c r="A25" s="217" t="s">
        <v>344</v>
      </c>
      <c r="B25" s="219" t="s">
        <v>774</v>
      </c>
      <c r="C25" s="219" t="s">
        <v>779</v>
      </c>
      <c r="D25" s="150" t="s">
        <v>102</v>
      </c>
      <c r="E25" s="155"/>
    </row>
    <row r="26" spans="1:5">
      <c r="A26" s="217"/>
      <c r="B26" s="219"/>
      <c r="C26" s="219"/>
      <c r="D26" s="150" t="s">
        <v>125</v>
      </c>
      <c r="E26" s="155"/>
    </row>
    <row r="27" spans="1:5">
      <c r="A27" s="217"/>
      <c r="B27" s="219"/>
      <c r="C27" s="219"/>
      <c r="D27" s="150" t="s">
        <v>129</v>
      </c>
      <c r="E27" s="155"/>
    </row>
    <row r="28" spans="1:5">
      <c r="A28" s="217"/>
      <c r="B28" s="219"/>
      <c r="C28" s="219"/>
      <c r="D28" s="150" t="s">
        <v>143</v>
      </c>
      <c r="E28" s="155"/>
    </row>
    <row r="29" spans="1:5">
      <c r="A29" s="217"/>
      <c r="B29" s="219"/>
      <c r="C29" s="219"/>
      <c r="D29" s="150" t="s">
        <v>147</v>
      </c>
      <c r="E29" s="155"/>
    </row>
    <row r="30" spans="1:5">
      <c r="A30" s="217" t="s">
        <v>353</v>
      </c>
      <c r="B30" s="219" t="s">
        <v>774</v>
      </c>
      <c r="C30" s="219" t="s">
        <v>780</v>
      </c>
      <c r="D30" s="150" t="s">
        <v>151</v>
      </c>
      <c r="E30" s="155"/>
    </row>
    <row r="31" spans="1:5">
      <c r="A31" s="217"/>
      <c r="B31" s="219"/>
      <c r="C31" s="219"/>
      <c r="D31" s="150" t="s">
        <v>133</v>
      </c>
      <c r="E31" s="155"/>
    </row>
    <row r="32" spans="1:5">
      <c r="A32" s="217"/>
      <c r="B32" s="219"/>
      <c r="C32" s="219"/>
      <c r="D32" s="150" t="s">
        <v>195</v>
      </c>
      <c r="E32" s="155"/>
    </row>
    <row r="33" spans="1:5">
      <c r="A33" s="217"/>
      <c r="B33" s="219"/>
      <c r="C33" s="219"/>
      <c r="D33" s="150" t="s">
        <v>164</v>
      </c>
      <c r="E33" s="155"/>
    </row>
    <row r="34" spans="1:5">
      <c r="A34" s="217"/>
      <c r="B34" s="219"/>
      <c r="C34" s="219"/>
      <c r="D34" s="150" t="s">
        <v>172</v>
      </c>
      <c r="E34" s="155"/>
    </row>
    <row r="35" spans="1:5">
      <c r="A35" s="217" t="s">
        <v>359</v>
      </c>
      <c r="B35" s="219" t="s">
        <v>774</v>
      </c>
      <c r="C35" s="219" t="s">
        <v>781</v>
      </c>
      <c r="D35" s="150" t="s">
        <v>106</v>
      </c>
      <c r="E35" s="155"/>
    </row>
    <row r="36" spans="1:5">
      <c r="A36" s="217"/>
      <c r="B36" s="219"/>
      <c r="C36" s="219"/>
      <c r="D36" s="150" t="s">
        <v>214</v>
      </c>
      <c r="E36" s="155"/>
    </row>
    <row r="37" spans="1:5">
      <c r="A37" s="217"/>
      <c r="B37" s="219"/>
      <c r="C37" s="219"/>
      <c r="D37" s="150" t="s">
        <v>218</v>
      </c>
      <c r="E37" s="155"/>
    </row>
    <row r="38" spans="1:5">
      <c r="A38" s="217"/>
      <c r="B38" s="219"/>
      <c r="C38" s="219"/>
      <c r="D38" s="150" t="s">
        <v>222</v>
      </c>
      <c r="E38" s="155"/>
    </row>
    <row r="39" spans="1:5">
      <c r="A39" s="217"/>
      <c r="B39" s="219"/>
      <c r="C39" s="219"/>
      <c r="D39" s="150" t="s">
        <v>49</v>
      </c>
      <c r="E39" s="155"/>
    </row>
    <row r="40" spans="1:5">
      <c r="A40" s="217"/>
      <c r="B40" s="219"/>
      <c r="C40" s="219"/>
      <c r="D40" s="150" t="s">
        <v>244</v>
      </c>
      <c r="E40" s="155"/>
    </row>
    <row r="41" spans="1:5">
      <c r="A41" s="217" t="s">
        <v>366</v>
      </c>
      <c r="B41" s="219" t="s">
        <v>774</v>
      </c>
      <c r="C41" s="219" t="s">
        <v>782</v>
      </c>
      <c r="D41" s="150" t="s">
        <v>231</v>
      </c>
      <c r="E41" s="155"/>
    </row>
    <row r="42" spans="1:5">
      <c r="A42" s="217"/>
      <c r="B42" s="219"/>
      <c r="C42" s="219"/>
      <c r="D42" s="150" t="s">
        <v>239</v>
      </c>
      <c r="E42" s="155"/>
    </row>
    <row r="43" spans="1:5">
      <c r="A43" s="217"/>
      <c r="B43" s="219"/>
      <c r="C43" s="219"/>
      <c r="D43" s="150" t="s">
        <v>257</v>
      </c>
      <c r="E43" s="155"/>
    </row>
    <row r="44" spans="1:5">
      <c r="A44" s="217"/>
      <c r="B44" s="219"/>
      <c r="C44" s="219"/>
      <c r="D44" s="150" t="s">
        <v>53</v>
      </c>
      <c r="E44" s="155"/>
    </row>
    <row r="45" spans="1:5">
      <c r="A45" s="217"/>
      <c r="B45" s="219"/>
      <c r="C45" s="219"/>
      <c r="D45" s="150" t="s">
        <v>57</v>
      </c>
      <c r="E45" s="155"/>
    </row>
    <row r="46" spans="1:5">
      <c r="A46" s="217"/>
      <c r="B46" s="219"/>
      <c r="C46" s="219"/>
      <c r="D46" s="150" t="s">
        <v>70</v>
      </c>
      <c r="E46" s="155"/>
    </row>
    <row r="47" spans="1:5">
      <c r="A47" s="217" t="s">
        <v>373</v>
      </c>
      <c r="B47" s="219" t="s">
        <v>774</v>
      </c>
      <c r="C47" s="219" t="s">
        <v>783</v>
      </c>
      <c r="D47" s="150" t="s">
        <v>92</v>
      </c>
      <c r="E47" s="155"/>
    </row>
    <row r="48" spans="1:5">
      <c r="A48" s="217"/>
      <c r="B48" s="219"/>
      <c r="C48" s="219"/>
      <c r="D48" s="150" t="s">
        <v>111</v>
      </c>
      <c r="E48" s="155"/>
    </row>
    <row r="49" spans="1:5">
      <c r="A49" s="217"/>
      <c r="B49" s="219"/>
      <c r="C49" s="219"/>
      <c r="D49" s="150" t="s">
        <v>97</v>
      </c>
      <c r="E49" s="155"/>
    </row>
    <row r="50" spans="1:5">
      <c r="A50" s="217" t="s">
        <v>381</v>
      </c>
      <c r="B50" s="219" t="s">
        <v>774</v>
      </c>
      <c r="C50" s="219" t="s">
        <v>784</v>
      </c>
      <c r="D50" s="150" t="s">
        <v>155</v>
      </c>
      <c r="E50" s="155"/>
    </row>
    <row r="51" spans="1:5">
      <c r="A51" s="217"/>
      <c r="B51" s="219"/>
      <c r="C51" s="219"/>
      <c r="D51" s="150" t="s">
        <v>168</v>
      </c>
      <c r="E51" s="155"/>
    </row>
    <row r="52" spans="1:5">
      <c r="A52" s="217"/>
      <c r="B52" s="219"/>
      <c r="C52" s="219"/>
      <c r="D52" s="150" t="s">
        <v>190</v>
      </c>
      <c r="E52" s="155"/>
    </row>
    <row r="53" spans="1:5">
      <c r="A53" s="217"/>
      <c r="B53" s="219"/>
      <c r="C53" s="219"/>
      <c r="D53" s="150" t="s">
        <v>205</v>
      </c>
      <c r="E53" s="155"/>
    </row>
    <row r="54" spans="1:5">
      <c r="A54" s="217"/>
      <c r="B54" s="219"/>
      <c r="C54" s="219"/>
      <c r="D54" s="150" t="s">
        <v>209</v>
      </c>
      <c r="E54" s="155"/>
    </row>
    <row r="55" spans="1:5">
      <c r="A55" s="217"/>
      <c r="B55" s="219"/>
      <c r="C55" s="219"/>
      <c r="D55" s="150" t="s">
        <v>235</v>
      </c>
      <c r="E55" s="155"/>
    </row>
    <row r="56" spans="1:5">
      <c r="A56" s="217" t="s">
        <v>389</v>
      </c>
      <c r="B56" s="219" t="s">
        <v>774</v>
      </c>
      <c r="C56" s="219" t="s">
        <v>785</v>
      </c>
      <c r="D56" s="150" t="s">
        <v>253</v>
      </c>
      <c r="E56" s="155"/>
    </row>
    <row r="57" spans="1:5">
      <c r="A57" s="217"/>
      <c r="B57" s="219"/>
      <c r="C57" s="219"/>
      <c r="D57" s="150" t="s">
        <v>261</v>
      </c>
      <c r="E57" s="155"/>
    </row>
    <row r="58" spans="1:5">
      <c r="A58" s="217"/>
      <c r="B58" s="219"/>
      <c r="C58" s="219"/>
      <c r="D58" s="150" t="s">
        <v>61</v>
      </c>
      <c r="E58" s="155"/>
    </row>
    <row r="59" spans="1:5">
      <c r="A59" s="217"/>
      <c r="B59" s="219"/>
      <c r="C59" s="219"/>
      <c r="D59" s="150" t="s">
        <v>65</v>
      </c>
      <c r="E59" s="155"/>
    </row>
    <row r="60" spans="1:5">
      <c r="A60" s="218"/>
      <c r="B60" s="220"/>
      <c r="C60" s="220"/>
      <c r="D60" s="151" t="s">
        <v>138</v>
      </c>
      <c r="E60" s="155"/>
    </row>
    <row r="61" spans="1:5">
      <c r="A61" s="157"/>
      <c r="B61" s="157"/>
      <c r="C61" s="157"/>
      <c r="D61" s="157"/>
    </row>
  </sheetData>
  <mergeCells count="33">
    <mergeCell ref="A2:A6"/>
    <mergeCell ref="B2:B6"/>
    <mergeCell ref="C2:C6"/>
    <mergeCell ref="A7:A11"/>
    <mergeCell ref="B7:B11"/>
    <mergeCell ref="C7:C11"/>
    <mergeCell ref="A12:A17"/>
    <mergeCell ref="B12:B17"/>
    <mergeCell ref="C12:C17"/>
    <mergeCell ref="A18:A24"/>
    <mergeCell ref="B18:B24"/>
    <mergeCell ref="C18:C24"/>
    <mergeCell ref="A25:A29"/>
    <mergeCell ref="B25:B29"/>
    <mergeCell ref="C25:C29"/>
    <mergeCell ref="A30:A34"/>
    <mergeCell ref="B30:B34"/>
    <mergeCell ref="C30:C34"/>
    <mergeCell ref="A35:A40"/>
    <mergeCell ref="B35:B40"/>
    <mergeCell ref="C35:C40"/>
    <mergeCell ref="A41:A46"/>
    <mergeCell ref="B41:B46"/>
    <mergeCell ref="C41:C46"/>
    <mergeCell ref="A56:A60"/>
    <mergeCell ref="B56:B60"/>
    <mergeCell ref="C56:C60"/>
    <mergeCell ref="A47:A49"/>
    <mergeCell ref="B47:B49"/>
    <mergeCell ref="C47:C49"/>
    <mergeCell ref="A50:A55"/>
    <mergeCell ref="B50:B55"/>
    <mergeCell ref="C50:C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3DA1-2CB9-42E3-9108-A6267B780A0C}">
  <dimension ref="A1:E8"/>
  <sheetViews>
    <sheetView workbookViewId="0">
      <selection activeCell="L7" sqref="L7"/>
    </sheetView>
  </sheetViews>
  <sheetFormatPr defaultColWidth="9.140625" defaultRowHeight="15"/>
  <cols>
    <col min="1" max="1" width="4.28515625" style="72" customWidth="1"/>
    <col min="2" max="2" width="12" style="72" bestFit="1" customWidth="1"/>
    <col min="3" max="3" width="15.28515625" style="72" bestFit="1" customWidth="1"/>
    <col min="4" max="4" width="15.42578125" style="72" bestFit="1" customWidth="1"/>
    <col min="5" max="7" width="9.140625" style="72"/>
    <col min="8" max="8" width="2.5703125" style="72" customWidth="1"/>
    <col min="9" max="16384" width="9.140625" style="72"/>
  </cols>
  <sheetData>
    <row r="1" spans="1:5">
      <c r="B1" s="76"/>
      <c r="C1" s="76"/>
      <c r="D1" s="76"/>
    </row>
    <row r="2" spans="1:5">
      <c r="A2" s="74"/>
      <c r="B2" s="84" t="s">
        <v>786</v>
      </c>
      <c r="C2" s="85" t="s">
        <v>787</v>
      </c>
      <c r="D2" s="86" t="s">
        <v>788</v>
      </c>
      <c r="E2" s="75"/>
    </row>
    <row r="3" spans="1:5">
      <c r="A3" s="74"/>
      <c r="B3" s="53">
        <v>1</v>
      </c>
      <c r="C3" s="53">
        <f>'Sprint Backlog - Antiguo'!G7</f>
        <v>19</v>
      </c>
      <c r="D3" s="53">
        <f>'Sprint Backlog - Antiguo'!G7</f>
        <v>19</v>
      </c>
      <c r="E3" s="87">
        <f>C3/B7</f>
        <v>3.8</v>
      </c>
    </row>
    <row r="4" spans="1:5">
      <c r="A4" s="74"/>
      <c r="B4" s="53">
        <v>2</v>
      </c>
      <c r="C4" s="60">
        <f>C3-E3</f>
        <v>15.2</v>
      </c>
      <c r="D4" s="53">
        <v>14</v>
      </c>
      <c r="E4" s="75"/>
    </row>
    <row r="5" spans="1:5">
      <c r="A5" s="74"/>
      <c r="B5" s="53">
        <v>3</v>
      </c>
      <c r="C5" s="60">
        <f>C4-E3</f>
        <v>11.399999999999999</v>
      </c>
      <c r="D5" s="53">
        <v>10</v>
      </c>
      <c r="E5" s="75"/>
    </row>
    <row r="6" spans="1:5">
      <c r="A6" s="74"/>
      <c r="B6" s="53">
        <v>4</v>
      </c>
      <c r="C6" s="60">
        <f>C5-E3</f>
        <v>7.5999999999999988</v>
      </c>
      <c r="D6" s="53">
        <v>6</v>
      </c>
      <c r="E6" s="75"/>
    </row>
    <row r="7" spans="1:5">
      <c r="A7" s="74"/>
      <c r="B7" s="53">
        <v>5</v>
      </c>
      <c r="C7" s="60">
        <f>C6-E3</f>
        <v>3.7999999999999989</v>
      </c>
      <c r="D7" s="53">
        <v>2</v>
      </c>
      <c r="E7" s="75"/>
    </row>
    <row r="8" spans="1:5">
      <c r="B8" s="77"/>
      <c r="C8" s="77"/>
      <c r="D8" s="7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3978-FAF0-4DC9-94D6-EA45EB5D0D82}">
  <dimension ref="D1:I37"/>
  <sheetViews>
    <sheetView topLeftCell="D6" workbookViewId="0">
      <selection activeCell="H37" sqref="H37"/>
    </sheetView>
  </sheetViews>
  <sheetFormatPr defaultRowHeight="15"/>
  <cols>
    <col min="4" max="4" width="12.42578125" customWidth="1"/>
    <col min="5" max="5" width="16.140625" customWidth="1"/>
    <col min="6" max="6" width="15" customWidth="1"/>
    <col min="7" max="7" width="70.42578125" customWidth="1"/>
    <col min="8" max="8" width="30.7109375" customWidth="1"/>
  </cols>
  <sheetData>
    <row r="1" spans="4:9">
      <c r="D1" s="53" t="s">
        <v>786</v>
      </c>
      <c r="E1" s="53" t="s">
        <v>787</v>
      </c>
      <c r="F1" s="53" t="s">
        <v>788</v>
      </c>
    </row>
    <row r="2" spans="4:9">
      <c r="D2" s="53">
        <v>1</v>
      </c>
      <c r="E2" s="53">
        <v>12</v>
      </c>
      <c r="F2" s="53">
        <v>12</v>
      </c>
      <c r="G2" s="59">
        <f>E2/D6</f>
        <v>2.4</v>
      </c>
    </row>
    <row r="3" spans="4:9">
      <c r="D3" s="53">
        <v>2</v>
      </c>
      <c r="E3" s="60">
        <f>E2-G2</f>
        <v>9.6</v>
      </c>
      <c r="F3" s="53">
        <v>12</v>
      </c>
    </row>
    <row r="4" spans="4:9">
      <c r="D4" s="53">
        <v>3</v>
      </c>
      <c r="E4" s="60">
        <f>E3-G2</f>
        <v>7.1999999999999993</v>
      </c>
      <c r="F4" s="53">
        <v>10</v>
      </c>
      <c r="H4" t="s">
        <v>789</v>
      </c>
      <c r="I4" t="s">
        <v>790</v>
      </c>
    </row>
    <row r="5" spans="4:9">
      <c r="D5" s="53">
        <v>4</v>
      </c>
      <c r="E5" s="60">
        <f>E4-G2</f>
        <v>4.7999999999999989</v>
      </c>
      <c r="F5" s="53">
        <v>12</v>
      </c>
      <c r="G5" t="s">
        <v>791</v>
      </c>
      <c r="H5" s="61" t="s">
        <v>789</v>
      </c>
    </row>
    <row r="6" spans="4:9">
      <c r="D6" s="53">
        <v>5</v>
      </c>
      <c r="E6" s="60">
        <f>E5-G2</f>
        <v>2.399999999999999</v>
      </c>
      <c r="F6" s="53">
        <v>8</v>
      </c>
    </row>
    <row r="7" spans="4:9" ht="75" customHeight="1">
      <c r="E7" t="s">
        <v>792</v>
      </c>
      <c r="F7" s="62" t="s">
        <v>793</v>
      </c>
      <c r="G7" t="s">
        <v>794</v>
      </c>
    </row>
    <row r="8" spans="4:9">
      <c r="E8" t="s">
        <v>795</v>
      </c>
      <c r="G8" t="s">
        <v>796</v>
      </c>
    </row>
    <row r="9" spans="4:9">
      <c r="G9" t="s">
        <v>797</v>
      </c>
    </row>
    <row r="10" spans="4:9">
      <c r="G10" t="s">
        <v>798</v>
      </c>
      <c r="H10" t="s">
        <v>799</v>
      </c>
    </row>
    <row r="11" spans="4:9">
      <c r="G11" t="s">
        <v>800</v>
      </c>
    </row>
    <row r="14" spans="4:9" ht="54.75">
      <c r="H14" s="63" t="s">
        <v>801</v>
      </c>
    </row>
    <row r="15" spans="4:9">
      <c r="H15" t="s">
        <v>802</v>
      </c>
    </row>
    <row r="16" spans="4:9">
      <c r="H16" t="s">
        <v>803</v>
      </c>
    </row>
    <row r="22" spans="4:9">
      <c r="H22" t="s">
        <v>804</v>
      </c>
      <c r="I22" t="s">
        <v>805</v>
      </c>
    </row>
    <row r="23" spans="4:9">
      <c r="H23" t="s">
        <v>806</v>
      </c>
      <c r="I23" t="s">
        <v>807</v>
      </c>
    </row>
    <row r="24" spans="4:9">
      <c r="H24" t="s">
        <v>808</v>
      </c>
      <c r="I24" t="s">
        <v>809</v>
      </c>
    </row>
    <row r="26" spans="4:9">
      <c r="H26" t="s">
        <v>810</v>
      </c>
      <c r="I26" t="s">
        <v>811</v>
      </c>
    </row>
    <row r="27" spans="4:9">
      <c r="D27" t="s">
        <v>812</v>
      </c>
      <c r="H27" t="s">
        <v>813</v>
      </c>
    </row>
    <row r="28" spans="4:9">
      <c r="D28" t="s">
        <v>814</v>
      </c>
      <c r="H28" t="s">
        <v>815</v>
      </c>
    </row>
    <row r="29" spans="4:9">
      <c r="D29" t="s">
        <v>816</v>
      </c>
      <c r="H29" t="s">
        <v>817</v>
      </c>
    </row>
    <row r="31" spans="4:9">
      <c r="H31" t="s">
        <v>818</v>
      </c>
    </row>
    <row r="32" spans="4:9">
      <c r="H32" t="s">
        <v>819</v>
      </c>
    </row>
    <row r="33" spans="8:8">
      <c r="H33" t="s">
        <v>820</v>
      </c>
    </row>
    <row r="34" spans="8:8">
      <c r="H34" t="s">
        <v>821</v>
      </c>
    </row>
    <row r="35" spans="8:8">
      <c r="H35" t="s">
        <v>822</v>
      </c>
    </row>
    <row r="36" spans="8:8">
      <c r="H36" t="s">
        <v>823</v>
      </c>
    </row>
    <row r="37" spans="8:8">
      <c r="H37" t="s">
        <v>824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B980-827F-44C2-B6E4-28A0127C3D96}">
  <dimension ref="A2:F65"/>
  <sheetViews>
    <sheetView topLeftCell="A50" workbookViewId="0">
      <selection activeCell="G12" sqref="G12"/>
    </sheetView>
  </sheetViews>
  <sheetFormatPr defaultColWidth="9.140625" defaultRowHeight="15"/>
  <cols>
    <col min="1" max="1" width="4" style="72" customWidth="1"/>
    <col min="2" max="2" width="25.28515625" style="72" bestFit="1" customWidth="1"/>
    <col min="3" max="3" width="68" style="72" customWidth="1"/>
    <col min="4" max="4" width="70.5703125" style="72" customWidth="1"/>
    <col min="5" max="5" width="11.140625" style="72" bestFit="1" customWidth="1"/>
    <col min="6" max="8" width="9.140625" style="72"/>
    <col min="9" max="9" width="9.7109375" style="72" customWidth="1"/>
    <col min="10" max="10" width="8.7109375" style="72" customWidth="1"/>
    <col min="11" max="11" width="9" style="72" customWidth="1"/>
    <col min="12" max="16384" width="9.140625" style="72"/>
  </cols>
  <sheetData>
    <row r="2" spans="1:6">
      <c r="B2" s="221" t="s">
        <v>825</v>
      </c>
      <c r="C2" s="221"/>
      <c r="D2" s="221"/>
      <c r="E2" s="221"/>
    </row>
    <row r="3" spans="1:6">
      <c r="B3" s="221" t="s">
        <v>826</v>
      </c>
      <c r="C3" s="221"/>
      <c r="D3" s="221"/>
      <c r="E3" s="221"/>
    </row>
    <row r="4" spans="1:6">
      <c r="B4" s="221" t="s">
        <v>827</v>
      </c>
      <c r="C4" s="221"/>
      <c r="D4" s="221"/>
      <c r="E4" s="221"/>
    </row>
    <row r="5" spans="1:6">
      <c r="B5" s="221" t="s">
        <v>828</v>
      </c>
      <c r="C5" s="221"/>
      <c r="D5" s="221"/>
      <c r="E5" s="221"/>
    </row>
    <row r="6" spans="1:6">
      <c r="B6" s="221" t="s">
        <v>829</v>
      </c>
      <c r="C6" s="221"/>
      <c r="D6" s="221"/>
      <c r="E6" s="221"/>
    </row>
    <row r="7" spans="1:6">
      <c r="B7" s="76"/>
      <c r="C7" s="76"/>
      <c r="D7" s="76"/>
      <c r="E7" s="76"/>
    </row>
    <row r="8" spans="1:6">
      <c r="A8" s="74"/>
      <c r="B8" s="81" t="s">
        <v>2</v>
      </c>
      <c r="C8" s="82" t="s">
        <v>830</v>
      </c>
      <c r="D8" s="82" t="s">
        <v>831</v>
      </c>
      <c r="E8" s="83" t="s">
        <v>832</v>
      </c>
      <c r="F8" s="75"/>
    </row>
    <row r="9" spans="1:6">
      <c r="A9" s="74"/>
      <c r="B9" s="78" t="s">
        <v>833</v>
      </c>
      <c r="C9" s="79" t="s">
        <v>834</v>
      </c>
      <c r="D9" s="79" t="s">
        <v>835</v>
      </c>
      <c r="E9" s="80" t="s">
        <v>836</v>
      </c>
      <c r="F9" s="75"/>
    </row>
    <row r="10" spans="1:6">
      <c r="A10" s="74"/>
      <c r="B10" s="68" t="s">
        <v>837</v>
      </c>
      <c r="C10" s="240" t="s">
        <v>838</v>
      </c>
      <c r="D10" s="241" t="s">
        <v>839</v>
      </c>
      <c r="E10" s="69" t="s">
        <v>836</v>
      </c>
      <c r="F10" s="75"/>
    </row>
    <row r="11" spans="1:6">
      <c r="A11" s="74"/>
      <c r="B11" s="68" t="s">
        <v>840</v>
      </c>
      <c r="C11" s="242" t="s">
        <v>841</v>
      </c>
      <c r="D11" s="243" t="s">
        <v>842</v>
      </c>
      <c r="E11" s="69" t="s">
        <v>836</v>
      </c>
      <c r="F11" s="75"/>
    </row>
    <row r="12" spans="1:6">
      <c r="A12" s="74"/>
      <c r="B12" s="70" t="s">
        <v>843</v>
      </c>
      <c r="C12" s="244" t="s">
        <v>844</v>
      </c>
      <c r="D12" s="245" t="s">
        <v>845</v>
      </c>
      <c r="E12" s="71" t="s">
        <v>836</v>
      </c>
      <c r="F12" s="75"/>
    </row>
    <row r="13" spans="1:6">
      <c r="B13" s="77"/>
      <c r="C13" s="77"/>
      <c r="D13" s="77"/>
      <c r="E13" s="77"/>
    </row>
    <row r="14" spans="1:6">
      <c r="B14" s="77"/>
      <c r="C14" s="77"/>
      <c r="D14" s="77"/>
      <c r="E14" s="77"/>
    </row>
    <row r="15" spans="1:6">
      <c r="B15" s="221" t="s">
        <v>846</v>
      </c>
      <c r="C15" s="221"/>
      <c r="D15" s="221"/>
      <c r="E15" s="221"/>
    </row>
    <row r="16" spans="1:6">
      <c r="B16" s="221" t="s">
        <v>847</v>
      </c>
      <c r="C16" s="221"/>
      <c r="D16" s="221"/>
      <c r="E16" s="221"/>
    </row>
    <row r="17" spans="1:6">
      <c r="B17" s="221" t="s">
        <v>827</v>
      </c>
      <c r="C17" s="221"/>
      <c r="D17" s="221"/>
      <c r="E17" s="221"/>
    </row>
    <row r="18" spans="1:6">
      <c r="B18" s="221" t="s">
        <v>828</v>
      </c>
      <c r="C18" s="221"/>
      <c r="D18" s="221"/>
      <c r="E18" s="221"/>
    </row>
    <row r="19" spans="1:6">
      <c r="B19" s="221" t="s">
        <v>829</v>
      </c>
      <c r="C19" s="221"/>
      <c r="D19" s="221"/>
      <c r="E19" s="221"/>
    </row>
    <row r="20" spans="1:6">
      <c r="B20" s="76"/>
      <c r="C20" s="76"/>
      <c r="D20" s="76"/>
      <c r="E20" s="76"/>
    </row>
    <row r="21" spans="1:6">
      <c r="A21" s="74"/>
      <c r="B21" s="81" t="s">
        <v>2</v>
      </c>
      <c r="C21" s="82" t="s">
        <v>830</v>
      </c>
      <c r="D21" s="82" t="s">
        <v>831</v>
      </c>
      <c r="E21" s="83" t="s">
        <v>832</v>
      </c>
      <c r="F21" s="75"/>
    </row>
    <row r="22" spans="1:6">
      <c r="A22" s="74"/>
      <c r="B22" s="78" t="s">
        <v>833</v>
      </c>
      <c r="C22" s="241" t="s">
        <v>848</v>
      </c>
      <c r="D22" s="246" t="s">
        <v>849</v>
      </c>
      <c r="E22" s="102" t="s">
        <v>836</v>
      </c>
      <c r="F22" s="75"/>
    </row>
    <row r="23" spans="1:6">
      <c r="A23" s="74"/>
      <c r="B23" s="68" t="s">
        <v>837</v>
      </c>
      <c r="C23" s="101" t="s">
        <v>850</v>
      </c>
      <c r="D23" s="247" t="s">
        <v>851</v>
      </c>
      <c r="E23" s="103" t="s">
        <v>836</v>
      </c>
      <c r="F23" s="75"/>
    </row>
    <row r="24" spans="1:6">
      <c r="A24" s="74"/>
      <c r="B24" s="98" t="s">
        <v>840</v>
      </c>
      <c r="C24" s="248" t="s">
        <v>852</v>
      </c>
      <c r="D24" s="99" t="s">
        <v>853</v>
      </c>
      <c r="E24" s="103" t="s">
        <v>836</v>
      </c>
      <c r="F24" s="75"/>
    </row>
    <row r="25" spans="1:6">
      <c r="A25" s="74"/>
      <c r="B25" s="100" t="s">
        <v>843</v>
      </c>
      <c r="C25" s="111" t="s">
        <v>854</v>
      </c>
      <c r="D25" s="112" t="s">
        <v>855</v>
      </c>
      <c r="E25" s="104" t="s">
        <v>836</v>
      </c>
      <c r="F25" s="75"/>
    </row>
    <row r="26" spans="1:6">
      <c r="B26" s="77"/>
      <c r="C26" s="77"/>
      <c r="D26" s="77"/>
      <c r="E26" s="77"/>
    </row>
    <row r="28" spans="1:6">
      <c r="B28" s="221" t="s">
        <v>856</v>
      </c>
      <c r="C28" s="221"/>
      <c r="D28" s="221"/>
      <c r="E28" s="221"/>
    </row>
    <row r="29" spans="1:6">
      <c r="B29" s="221" t="s">
        <v>857</v>
      </c>
      <c r="C29" s="221"/>
      <c r="D29" s="221"/>
      <c r="E29" s="221"/>
    </row>
    <row r="30" spans="1:6">
      <c r="B30" s="221" t="s">
        <v>827</v>
      </c>
      <c r="C30" s="221"/>
      <c r="D30" s="221"/>
      <c r="E30" s="221"/>
    </row>
    <row r="31" spans="1:6">
      <c r="B31" s="221" t="s">
        <v>828</v>
      </c>
      <c r="C31" s="221"/>
      <c r="D31" s="221"/>
      <c r="E31" s="221"/>
    </row>
    <row r="32" spans="1:6">
      <c r="B32" s="221" t="s">
        <v>829</v>
      </c>
      <c r="C32" s="221"/>
      <c r="D32" s="221"/>
      <c r="E32" s="221"/>
    </row>
    <row r="33" spans="1:6">
      <c r="B33" s="76"/>
      <c r="C33" s="76"/>
      <c r="D33" s="76"/>
      <c r="E33" s="76"/>
    </row>
    <row r="34" spans="1:6">
      <c r="A34" s="74"/>
      <c r="B34" s="81" t="s">
        <v>2</v>
      </c>
      <c r="C34" s="82" t="s">
        <v>830</v>
      </c>
      <c r="D34" s="82" t="s">
        <v>831</v>
      </c>
      <c r="E34" s="83" t="s">
        <v>832</v>
      </c>
      <c r="F34" s="75"/>
    </row>
    <row r="35" spans="1:6">
      <c r="A35" s="74"/>
      <c r="B35" s="78" t="s">
        <v>833</v>
      </c>
      <c r="C35" s="241" t="s">
        <v>858</v>
      </c>
      <c r="D35" s="249" t="s">
        <v>859</v>
      </c>
      <c r="E35" s="102" t="s">
        <v>836</v>
      </c>
      <c r="F35" s="75"/>
    </row>
    <row r="36" spans="1:6">
      <c r="A36" s="74"/>
      <c r="B36" s="98" t="s">
        <v>837</v>
      </c>
      <c r="C36" s="248" t="s">
        <v>860</v>
      </c>
      <c r="D36" s="250" t="s">
        <v>861</v>
      </c>
      <c r="E36" s="103" t="s">
        <v>836</v>
      </c>
      <c r="F36" s="75"/>
    </row>
    <row r="37" spans="1:6">
      <c r="A37" s="74"/>
      <c r="B37" s="98" t="s">
        <v>840</v>
      </c>
      <c r="C37" s="251" t="s">
        <v>862</v>
      </c>
      <c r="D37" s="247" t="s">
        <v>863</v>
      </c>
      <c r="E37" s="103" t="s">
        <v>836</v>
      </c>
      <c r="F37" s="75"/>
    </row>
    <row r="38" spans="1:6">
      <c r="A38" s="74"/>
      <c r="B38" s="100" t="s">
        <v>843</v>
      </c>
      <c r="C38" s="252" t="s">
        <v>864</v>
      </c>
      <c r="D38" s="253" t="s">
        <v>865</v>
      </c>
      <c r="E38" s="104" t="s">
        <v>836</v>
      </c>
      <c r="F38" s="75"/>
    </row>
    <row r="39" spans="1:6">
      <c r="B39" s="77"/>
      <c r="C39" s="77"/>
      <c r="D39" s="77"/>
      <c r="E39" s="77"/>
    </row>
    <row r="41" spans="1:6">
      <c r="B41" s="221" t="s">
        <v>866</v>
      </c>
      <c r="C41" s="221"/>
      <c r="D41" s="221"/>
      <c r="E41" s="221"/>
    </row>
    <row r="42" spans="1:6">
      <c r="B42" s="221" t="s">
        <v>867</v>
      </c>
      <c r="C42" s="221"/>
      <c r="D42" s="221"/>
      <c r="E42" s="221"/>
    </row>
    <row r="43" spans="1:6">
      <c r="B43" s="221" t="s">
        <v>827</v>
      </c>
      <c r="C43" s="221"/>
      <c r="D43" s="221"/>
      <c r="E43" s="221"/>
    </row>
    <row r="44" spans="1:6">
      <c r="B44" s="221" t="s">
        <v>828</v>
      </c>
      <c r="C44" s="221"/>
      <c r="D44" s="221"/>
      <c r="E44" s="221"/>
    </row>
    <row r="45" spans="1:6">
      <c r="B45" s="221" t="s">
        <v>829</v>
      </c>
      <c r="C45" s="221"/>
      <c r="D45" s="221"/>
      <c r="E45" s="221"/>
    </row>
    <row r="46" spans="1:6">
      <c r="B46" s="76"/>
      <c r="C46" s="76"/>
      <c r="D46" s="76"/>
      <c r="E46" s="76"/>
    </row>
    <row r="47" spans="1:6">
      <c r="A47" s="74"/>
      <c r="B47" s="81" t="s">
        <v>2</v>
      </c>
      <c r="C47" s="82" t="s">
        <v>830</v>
      </c>
      <c r="D47" s="82" t="s">
        <v>831</v>
      </c>
      <c r="E47" s="83" t="s">
        <v>832</v>
      </c>
      <c r="F47" s="75"/>
    </row>
    <row r="48" spans="1:6">
      <c r="A48" s="74"/>
      <c r="B48" s="105" t="s">
        <v>833</v>
      </c>
      <c r="C48" s="246" t="s">
        <v>868</v>
      </c>
      <c r="D48" s="246" t="s">
        <v>869</v>
      </c>
      <c r="E48" s="102" t="s">
        <v>836</v>
      </c>
      <c r="F48" s="75"/>
    </row>
    <row r="49" spans="1:6">
      <c r="A49" s="74"/>
      <c r="B49" s="98" t="s">
        <v>837</v>
      </c>
      <c r="C49" s="247" t="s">
        <v>870</v>
      </c>
      <c r="D49" s="247" t="s">
        <v>871</v>
      </c>
      <c r="E49" s="103" t="s">
        <v>836</v>
      </c>
      <c r="F49" s="75"/>
    </row>
    <row r="50" spans="1:6">
      <c r="A50" s="74"/>
      <c r="B50" s="98" t="s">
        <v>840</v>
      </c>
      <c r="C50" s="247" t="s">
        <v>872</v>
      </c>
      <c r="D50" s="247" t="s">
        <v>873</v>
      </c>
      <c r="E50" s="103" t="s">
        <v>836</v>
      </c>
      <c r="F50" s="75"/>
    </row>
    <row r="51" spans="1:6">
      <c r="A51" s="74"/>
      <c r="B51" s="100" t="s">
        <v>843</v>
      </c>
      <c r="C51" s="253" t="s">
        <v>874</v>
      </c>
      <c r="D51" s="253" t="s">
        <v>875</v>
      </c>
      <c r="E51" s="104" t="s">
        <v>836</v>
      </c>
      <c r="F51" s="75"/>
    </row>
    <row r="52" spans="1:6">
      <c r="B52" s="77"/>
      <c r="C52" s="77"/>
      <c r="D52" s="77"/>
      <c r="E52" s="77"/>
    </row>
    <row r="54" spans="1:6">
      <c r="B54" s="221" t="s">
        <v>876</v>
      </c>
      <c r="C54" s="221"/>
      <c r="D54" s="221"/>
      <c r="E54" s="221"/>
    </row>
    <row r="55" spans="1:6">
      <c r="B55" s="221" t="s">
        <v>877</v>
      </c>
      <c r="C55" s="221"/>
      <c r="D55" s="221"/>
      <c r="E55" s="221"/>
    </row>
    <row r="56" spans="1:6">
      <c r="B56" s="221" t="s">
        <v>827</v>
      </c>
      <c r="C56" s="221"/>
      <c r="D56" s="221"/>
      <c r="E56" s="221"/>
    </row>
    <row r="57" spans="1:6">
      <c r="B57" s="221" t="s">
        <v>828</v>
      </c>
      <c r="C57" s="221"/>
      <c r="D57" s="221"/>
      <c r="E57" s="221"/>
    </row>
    <row r="58" spans="1:6">
      <c r="B58" s="221" t="s">
        <v>829</v>
      </c>
      <c r="C58" s="221"/>
      <c r="D58" s="221"/>
      <c r="E58" s="221"/>
    </row>
    <row r="59" spans="1:6">
      <c r="B59" s="76"/>
      <c r="C59" s="76"/>
      <c r="D59" s="76"/>
      <c r="E59" s="76"/>
    </row>
    <row r="60" spans="1:6">
      <c r="A60" s="74"/>
      <c r="B60" s="81" t="s">
        <v>2</v>
      </c>
      <c r="C60" s="82" t="s">
        <v>830</v>
      </c>
      <c r="D60" s="82" t="s">
        <v>831</v>
      </c>
      <c r="E60" s="83" t="s">
        <v>832</v>
      </c>
      <c r="F60" s="75"/>
    </row>
    <row r="61" spans="1:6">
      <c r="A61" s="74"/>
      <c r="B61" s="105" t="s">
        <v>833</v>
      </c>
      <c r="C61" s="246" t="s">
        <v>878</v>
      </c>
      <c r="D61" s="246" t="s">
        <v>879</v>
      </c>
      <c r="E61" s="102" t="s">
        <v>836</v>
      </c>
      <c r="F61" s="75"/>
    </row>
    <row r="62" spans="1:6">
      <c r="A62" s="74"/>
      <c r="B62" s="98" t="s">
        <v>837</v>
      </c>
      <c r="C62" s="247" t="s">
        <v>880</v>
      </c>
      <c r="D62" s="247" t="s">
        <v>881</v>
      </c>
      <c r="E62" s="103" t="s">
        <v>836</v>
      </c>
      <c r="F62" s="75"/>
    </row>
    <row r="63" spans="1:6">
      <c r="A63" s="74"/>
      <c r="B63" s="98" t="s">
        <v>840</v>
      </c>
      <c r="C63" s="247" t="s">
        <v>882</v>
      </c>
      <c r="D63" s="247" t="s">
        <v>883</v>
      </c>
      <c r="E63" s="103" t="s">
        <v>836</v>
      </c>
      <c r="F63" s="75"/>
    </row>
    <row r="64" spans="1:6">
      <c r="A64" s="74"/>
      <c r="B64" s="100" t="s">
        <v>843</v>
      </c>
      <c r="C64" s="253" t="s">
        <v>884</v>
      </c>
      <c r="D64" s="253" t="s">
        <v>885</v>
      </c>
      <c r="E64" s="104" t="s">
        <v>836</v>
      </c>
      <c r="F64" s="75"/>
    </row>
    <row r="65" spans="2:5">
      <c r="B65" s="77"/>
      <c r="C65" s="77"/>
      <c r="D65" s="77"/>
      <c r="E65" s="77"/>
    </row>
  </sheetData>
  <mergeCells count="25">
    <mergeCell ref="B58:E58"/>
    <mergeCell ref="B44:E44"/>
    <mergeCell ref="B45:E45"/>
    <mergeCell ref="B54:E54"/>
    <mergeCell ref="B55:E55"/>
    <mergeCell ref="B56:E56"/>
    <mergeCell ref="B57:E57"/>
    <mergeCell ref="B43:E43"/>
    <mergeCell ref="B16:E16"/>
    <mergeCell ref="B17:E17"/>
    <mergeCell ref="B18:E18"/>
    <mergeCell ref="B19:E19"/>
    <mergeCell ref="B28:E28"/>
    <mergeCell ref="B29:E29"/>
    <mergeCell ref="B30:E30"/>
    <mergeCell ref="B31:E31"/>
    <mergeCell ref="B32:E32"/>
    <mergeCell ref="B41:E41"/>
    <mergeCell ref="B42:E42"/>
    <mergeCell ref="B15:E15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CCC2-F5C7-4ACF-BC6C-9DD76F6F1AC0}">
  <dimension ref="A1:J29"/>
  <sheetViews>
    <sheetView workbookViewId="0">
      <selection activeCell="H15" sqref="H15"/>
    </sheetView>
  </sheetViews>
  <sheetFormatPr defaultColWidth="9.140625" defaultRowHeight="15"/>
  <cols>
    <col min="1" max="1" width="4.5703125" style="72" customWidth="1"/>
    <col min="2" max="2" width="18.7109375" style="72" customWidth="1"/>
    <col min="3" max="3" width="23.28515625" style="72" customWidth="1"/>
    <col min="4" max="4" width="16.5703125" style="72" customWidth="1"/>
    <col min="5" max="11" width="9.140625" style="72" bestFit="1" customWidth="1"/>
    <col min="12" max="16384" width="9.140625" style="72"/>
  </cols>
  <sheetData>
    <row r="1" spans="1:10">
      <c r="B1" s="93"/>
      <c r="C1" s="93"/>
      <c r="D1" s="93"/>
      <c r="E1" s="93"/>
      <c r="F1" s="93"/>
      <c r="G1" s="93"/>
    </row>
    <row r="2" spans="1:10">
      <c r="B2" s="222" t="s">
        <v>886</v>
      </c>
      <c r="C2" s="223"/>
      <c r="D2" s="223"/>
      <c r="E2" s="223"/>
      <c r="F2" s="223"/>
      <c r="G2" s="224"/>
    </row>
    <row r="3" spans="1:10">
      <c r="B3" s="222" t="s">
        <v>887</v>
      </c>
      <c r="C3" s="223"/>
      <c r="D3" s="223"/>
      <c r="E3" s="223"/>
      <c r="F3" s="223"/>
      <c r="G3" s="224"/>
    </row>
    <row r="4" spans="1:10">
      <c r="B4" s="222" t="s">
        <v>888</v>
      </c>
      <c r="C4" s="223"/>
      <c r="D4" s="223"/>
      <c r="E4" s="223"/>
      <c r="F4" s="223"/>
      <c r="G4" s="224"/>
    </row>
    <row r="5" spans="1:10">
      <c r="B5" s="95"/>
      <c r="C5" s="95"/>
      <c r="D5" s="95"/>
      <c r="E5" s="95"/>
      <c r="F5" s="95"/>
      <c r="G5" s="93"/>
      <c r="H5" s="73"/>
      <c r="I5" s="73"/>
      <c r="J5" s="73"/>
    </row>
    <row r="6" spans="1:10">
      <c r="A6" s="74"/>
      <c r="B6" s="225" t="s">
        <v>889</v>
      </c>
      <c r="C6" s="226"/>
      <c r="D6" s="226"/>
      <c r="E6" s="226"/>
      <c r="F6" s="226"/>
      <c r="G6" s="227"/>
      <c r="H6" s="89"/>
      <c r="I6" s="89"/>
      <c r="J6" s="89"/>
    </row>
    <row r="7" spans="1:10">
      <c r="A7" s="74"/>
      <c r="B7" s="228"/>
      <c r="C7" s="229"/>
      <c r="D7" s="229"/>
      <c r="E7" s="229"/>
      <c r="F7" s="229"/>
      <c r="G7" s="230"/>
      <c r="H7" s="89"/>
      <c r="I7" s="89"/>
      <c r="J7" s="89"/>
    </row>
    <row r="8" spans="1:10">
      <c r="A8" s="74"/>
      <c r="B8" s="88"/>
      <c r="C8" s="88"/>
      <c r="D8" s="88"/>
      <c r="E8" s="88"/>
      <c r="F8" s="88"/>
      <c r="G8" s="90"/>
      <c r="H8" s="88"/>
      <c r="I8" s="88"/>
      <c r="J8" s="88"/>
    </row>
    <row r="9" spans="1:10">
      <c r="B9" s="222" t="s">
        <v>890</v>
      </c>
      <c r="C9" s="223"/>
      <c r="D9" s="223"/>
      <c r="E9" s="223"/>
      <c r="F9" s="223"/>
      <c r="G9" s="224"/>
    </row>
    <row r="10" spans="1:10">
      <c r="B10" s="95"/>
      <c r="C10" s="95"/>
      <c r="D10" s="95"/>
      <c r="E10" s="93"/>
      <c r="F10" s="93"/>
      <c r="G10" s="93"/>
    </row>
    <row r="11" spans="1:10">
      <c r="A11" s="74"/>
      <c r="B11" s="121" t="s">
        <v>270</v>
      </c>
      <c r="C11" s="122" t="s">
        <v>891</v>
      </c>
      <c r="D11" s="123" t="s">
        <v>892</v>
      </c>
      <c r="E11" s="94"/>
      <c r="F11" s="93"/>
      <c r="G11" s="93"/>
    </row>
    <row r="12" spans="1:10" ht="41.25">
      <c r="A12" s="74"/>
      <c r="B12" s="124" t="s">
        <v>6</v>
      </c>
      <c r="C12" s="125" t="s">
        <v>430</v>
      </c>
      <c r="D12" s="126" t="s">
        <v>893</v>
      </c>
      <c r="E12" s="94"/>
      <c r="F12" s="93"/>
      <c r="G12" s="93"/>
    </row>
    <row r="13" spans="1:10" ht="54.75">
      <c r="A13" s="74"/>
      <c r="B13" s="115" t="s">
        <v>12</v>
      </c>
      <c r="C13" s="118" t="s">
        <v>894</v>
      </c>
      <c r="D13" s="117" t="s">
        <v>893</v>
      </c>
      <c r="E13" s="94"/>
      <c r="F13" s="93"/>
      <c r="G13" s="93"/>
    </row>
    <row r="14" spans="1:10" ht="41.25">
      <c r="A14" s="74"/>
      <c r="B14" s="115" t="s">
        <v>16</v>
      </c>
      <c r="C14" s="118" t="s">
        <v>447</v>
      </c>
      <c r="D14" s="117" t="s">
        <v>893</v>
      </c>
      <c r="E14" s="94"/>
      <c r="F14" s="93"/>
      <c r="G14" s="93"/>
    </row>
    <row r="15" spans="1:10" ht="54.75">
      <c r="A15" s="74"/>
      <c r="B15" s="115" t="s">
        <v>20</v>
      </c>
      <c r="C15" s="118" t="s">
        <v>895</v>
      </c>
      <c r="D15" s="117" t="s">
        <v>893</v>
      </c>
      <c r="E15" s="94"/>
      <c r="F15" s="93"/>
      <c r="G15" s="93"/>
    </row>
    <row r="16" spans="1:10" ht="68.25">
      <c r="A16" s="74"/>
      <c r="B16" s="116" t="s">
        <v>25</v>
      </c>
      <c r="C16" s="119" t="s">
        <v>896</v>
      </c>
      <c r="D16" s="120" t="s">
        <v>893</v>
      </c>
      <c r="E16" s="94"/>
      <c r="F16" s="93"/>
      <c r="G16" s="93"/>
    </row>
    <row r="17" spans="2:7">
      <c r="B17" s="96"/>
      <c r="C17" s="96"/>
      <c r="D17" s="96"/>
      <c r="E17" s="93"/>
      <c r="F17" s="93"/>
      <c r="G17" s="93"/>
    </row>
    <row r="18" spans="2:7">
      <c r="B18" s="222" t="s">
        <v>897</v>
      </c>
      <c r="C18" s="223"/>
      <c r="D18" s="223"/>
      <c r="E18" s="223"/>
      <c r="F18" s="223"/>
      <c r="G18" s="224"/>
    </row>
    <row r="19" spans="2:7">
      <c r="B19" s="222" t="s">
        <v>898</v>
      </c>
      <c r="C19" s="223"/>
      <c r="D19" s="223"/>
      <c r="E19" s="223"/>
      <c r="F19" s="223"/>
      <c r="G19" s="224"/>
    </row>
    <row r="20" spans="2:7">
      <c r="B20" s="222" t="s">
        <v>899</v>
      </c>
      <c r="C20" s="223"/>
      <c r="D20" s="223"/>
      <c r="E20" s="223"/>
      <c r="F20" s="223"/>
      <c r="G20" s="224"/>
    </row>
    <row r="21" spans="2:7">
      <c r="B21" s="222" t="s">
        <v>900</v>
      </c>
      <c r="C21" s="223"/>
      <c r="D21" s="223"/>
      <c r="E21" s="223"/>
      <c r="F21" s="223"/>
      <c r="G21" s="224"/>
    </row>
    <row r="22" spans="2:7">
      <c r="B22" s="93"/>
      <c r="C22" s="93"/>
      <c r="D22" s="93"/>
      <c r="E22" s="93"/>
      <c r="F22" s="93"/>
      <c r="G22" s="93"/>
    </row>
    <row r="23" spans="2:7">
      <c r="B23" s="222" t="s">
        <v>901</v>
      </c>
      <c r="C23" s="223"/>
      <c r="D23" s="223"/>
      <c r="E23" s="223"/>
      <c r="F23" s="223"/>
      <c r="G23" s="224"/>
    </row>
    <row r="24" spans="2:7">
      <c r="B24" s="231" t="s">
        <v>902</v>
      </c>
      <c r="C24" s="232"/>
      <c r="D24" s="232"/>
      <c r="E24" s="232"/>
      <c r="F24" s="232"/>
      <c r="G24" s="233"/>
    </row>
    <row r="25" spans="2:7">
      <c r="B25" s="234"/>
      <c r="C25" s="235"/>
      <c r="D25" s="235"/>
      <c r="E25" s="235"/>
      <c r="F25" s="235"/>
      <c r="G25" s="236"/>
    </row>
    <row r="26" spans="2:7">
      <c r="B26" s="93"/>
      <c r="C26" s="93"/>
      <c r="D26" s="93"/>
      <c r="E26" s="93"/>
      <c r="F26" s="93"/>
      <c r="G26" s="93"/>
    </row>
    <row r="27" spans="2:7">
      <c r="B27" s="222" t="s">
        <v>903</v>
      </c>
      <c r="C27" s="223"/>
      <c r="D27" s="223"/>
      <c r="E27" s="223"/>
      <c r="F27" s="223"/>
      <c r="G27" s="224"/>
    </row>
    <row r="28" spans="2:7">
      <c r="B28" s="222" t="s">
        <v>904</v>
      </c>
      <c r="C28" s="223"/>
      <c r="D28" s="223"/>
      <c r="E28" s="223"/>
      <c r="F28" s="223"/>
      <c r="G28" s="224"/>
    </row>
    <row r="29" spans="2:7">
      <c r="B29" s="222" t="s">
        <v>905</v>
      </c>
      <c r="C29" s="223"/>
      <c r="D29" s="223"/>
      <c r="E29" s="223"/>
      <c r="F29" s="223"/>
      <c r="G29" s="224"/>
    </row>
  </sheetData>
  <mergeCells count="14">
    <mergeCell ref="B27:G27"/>
    <mergeCell ref="B28:G28"/>
    <mergeCell ref="B29:G29"/>
    <mergeCell ref="B18:G18"/>
    <mergeCell ref="B19:G19"/>
    <mergeCell ref="B20:G20"/>
    <mergeCell ref="B21:G21"/>
    <mergeCell ref="B23:G23"/>
    <mergeCell ref="B24:G25"/>
    <mergeCell ref="B3:G3"/>
    <mergeCell ref="B4:G4"/>
    <mergeCell ref="B2:G2"/>
    <mergeCell ref="B6:G7"/>
    <mergeCell ref="B9:G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DA92-AF5B-4391-9B76-C0BDE380E2AE}">
  <dimension ref="A1:H31"/>
  <sheetViews>
    <sheetView workbookViewId="0">
      <selection activeCell="F26" sqref="F26"/>
    </sheetView>
  </sheetViews>
  <sheetFormatPr defaultColWidth="9.140625" defaultRowHeight="15"/>
  <cols>
    <col min="1" max="1" width="4.5703125" style="72" customWidth="1"/>
    <col min="2" max="2" width="18.7109375" style="72" customWidth="1"/>
    <col min="3" max="3" width="23.28515625" style="72" customWidth="1"/>
    <col min="4" max="4" width="16.5703125" style="72" customWidth="1"/>
    <col min="5" max="11" width="9.140625" style="72" bestFit="1" customWidth="1"/>
    <col min="12" max="16384" width="9.140625" style="72"/>
  </cols>
  <sheetData>
    <row r="1" spans="1:8">
      <c r="A1" s="76"/>
      <c r="B1" s="91"/>
      <c r="C1" s="91"/>
      <c r="D1" s="91"/>
      <c r="E1" s="91"/>
      <c r="F1" s="76"/>
      <c r="G1" s="92"/>
    </row>
    <row r="2" spans="1:8">
      <c r="A2" s="74"/>
      <c r="B2" s="237" t="s">
        <v>886</v>
      </c>
      <c r="C2" s="238"/>
      <c r="D2" s="238"/>
      <c r="E2" s="239"/>
      <c r="F2" s="75"/>
      <c r="H2" s="75"/>
    </row>
    <row r="3" spans="1:8">
      <c r="A3" s="74"/>
      <c r="B3" s="237" t="s">
        <v>906</v>
      </c>
      <c r="C3" s="238"/>
      <c r="D3" s="238"/>
      <c r="E3" s="239"/>
      <c r="F3" s="75"/>
      <c r="H3" s="75"/>
    </row>
    <row r="4" spans="1:8">
      <c r="A4" s="74"/>
      <c r="B4" s="237" t="s">
        <v>907</v>
      </c>
      <c r="C4" s="238"/>
      <c r="D4" s="238"/>
      <c r="E4" s="239"/>
      <c r="F4" s="75"/>
      <c r="H4" s="75"/>
    </row>
    <row r="5" spans="1:8">
      <c r="A5" s="74"/>
      <c r="B5" s="73"/>
      <c r="C5" s="73"/>
      <c r="D5" s="73"/>
      <c r="E5" s="73"/>
      <c r="F5" s="75"/>
      <c r="H5" s="75"/>
    </row>
    <row r="6" spans="1:8">
      <c r="A6" s="74"/>
      <c r="B6" s="237" t="s">
        <v>908</v>
      </c>
      <c r="C6" s="238"/>
      <c r="D6" s="238"/>
      <c r="E6" s="239"/>
      <c r="F6" s="75"/>
      <c r="H6" s="75"/>
    </row>
    <row r="7" spans="1:8">
      <c r="A7" s="74"/>
      <c r="B7" s="237" t="s">
        <v>909</v>
      </c>
      <c r="C7" s="238"/>
      <c r="D7" s="238"/>
      <c r="E7" s="239"/>
      <c r="F7" s="75"/>
      <c r="H7" s="75"/>
    </row>
    <row r="8" spans="1:8">
      <c r="A8" s="74"/>
      <c r="B8" s="73"/>
      <c r="C8" s="73"/>
      <c r="D8" s="73"/>
      <c r="E8" s="73"/>
      <c r="F8" s="75"/>
      <c r="H8" s="75"/>
    </row>
    <row r="9" spans="1:8">
      <c r="A9" s="74"/>
      <c r="B9" s="237" t="s">
        <v>910</v>
      </c>
      <c r="C9" s="238"/>
      <c r="D9" s="238"/>
      <c r="E9" s="239"/>
      <c r="F9" s="75"/>
      <c r="H9" s="75"/>
    </row>
    <row r="10" spans="1:8">
      <c r="A10" s="74"/>
      <c r="B10" s="237" t="s">
        <v>911</v>
      </c>
      <c r="C10" s="238"/>
      <c r="D10" s="238"/>
      <c r="E10" s="239"/>
      <c r="F10" s="75"/>
      <c r="H10" s="75"/>
    </row>
    <row r="11" spans="1:8">
      <c r="A11" s="74"/>
      <c r="B11" s="237" t="s">
        <v>912</v>
      </c>
      <c r="C11" s="238"/>
      <c r="D11" s="238"/>
      <c r="E11" s="239"/>
      <c r="F11" s="75"/>
      <c r="H11" s="75"/>
    </row>
    <row r="12" spans="1:8">
      <c r="A12" s="74"/>
      <c r="B12" s="237" t="s">
        <v>913</v>
      </c>
      <c r="C12" s="238"/>
      <c r="D12" s="238"/>
      <c r="E12" s="239"/>
      <c r="F12" s="75"/>
      <c r="H12" s="75"/>
    </row>
    <row r="13" spans="1:8">
      <c r="A13" s="74"/>
      <c r="B13" s="73"/>
      <c r="C13" s="73"/>
      <c r="D13" s="73"/>
      <c r="E13" s="73"/>
      <c r="F13" s="75"/>
      <c r="H13" s="75"/>
    </row>
    <row r="14" spans="1:8">
      <c r="A14" s="74"/>
      <c r="B14" s="237" t="s">
        <v>914</v>
      </c>
      <c r="C14" s="238"/>
      <c r="D14" s="238"/>
      <c r="E14" s="239"/>
      <c r="F14" s="75"/>
      <c r="H14" s="75"/>
    </row>
    <row r="15" spans="1:8">
      <c r="A15" s="74"/>
      <c r="B15" s="237" t="s">
        <v>915</v>
      </c>
      <c r="C15" s="238"/>
      <c r="D15" s="238"/>
      <c r="E15" s="239"/>
      <c r="F15" s="75"/>
      <c r="H15" s="75"/>
    </row>
    <row r="16" spans="1:8">
      <c r="A16" s="74"/>
      <c r="B16" s="237" t="s">
        <v>916</v>
      </c>
      <c r="C16" s="238"/>
      <c r="D16" s="238"/>
      <c r="E16" s="239"/>
      <c r="F16" s="75"/>
      <c r="H16" s="75"/>
    </row>
    <row r="17" spans="1:8">
      <c r="A17" s="74"/>
      <c r="B17" s="73"/>
      <c r="C17" s="73"/>
      <c r="D17" s="73"/>
      <c r="E17" s="73"/>
      <c r="F17" s="75"/>
      <c r="H17" s="75"/>
    </row>
    <row r="18" spans="1:8">
      <c r="A18" s="74"/>
      <c r="B18" s="237" t="s">
        <v>917</v>
      </c>
      <c r="C18" s="238"/>
      <c r="D18" s="238"/>
      <c r="E18" s="239"/>
      <c r="F18" s="75"/>
      <c r="H18" s="75"/>
    </row>
    <row r="19" spans="1:8">
      <c r="A19" s="74"/>
      <c r="B19" s="237" t="s">
        <v>918</v>
      </c>
      <c r="C19" s="238"/>
      <c r="D19" s="238"/>
      <c r="E19" s="239"/>
      <c r="F19" s="75"/>
      <c r="H19" s="75"/>
    </row>
    <row r="20" spans="1:8">
      <c r="A20" s="74"/>
      <c r="B20" s="237" t="s">
        <v>919</v>
      </c>
      <c r="C20" s="238"/>
      <c r="D20" s="238"/>
      <c r="E20" s="239"/>
      <c r="F20" s="75"/>
      <c r="H20" s="75"/>
    </row>
    <row r="21" spans="1:8">
      <c r="A21" s="74"/>
      <c r="B21" s="73"/>
      <c r="C21" s="73"/>
      <c r="D21" s="73"/>
      <c r="E21" s="73"/>
      <c r="F21" s="75"/>
      <c r="H21" s="75"/>
    </row>
    <row r="22" spans="1:8">
      <c r="A22" s="74"/>
      <c r="B22" s="237" t="s">
        <v>920</v>
      </c>
      <c r="C22" s="238"/>
      <c r="D22" s="238"/>
      <c r="E22" s="239"/>
      <c r="F22" s="75"/>
      <c r="H22" s="75"/>
    </row>
    <row r="23" spans="1:8">
      <c r="A23" s="74"/>
      <c r="B23" s="237" t="s">
        <v>921</v>
      </c>
      <c r="C23" s="238"/>
      <c r="D23" s="238"/>
      <c r="E23" s="239"/>
      <c r="F23" s="75"/>
      <c r="H23" s="75"/>
    </row>
    <row r="24" spans="1:8">
      <c r="A24" s="74"/>
      <c r="B24" s="237" t="s">
        <v>922</v>
      </c>
      <c r="C24" s="238"/>
      <c r="D24" s="238"/>
      <c r="E24" s="239"/>
      <c r="F24" s="75"/>
      <c r="H24" s="75"/>
    </row>
    <row r="25" spans="1:8">
      <c r="A25" s="74"/>
      <c r="B25" s="73"/>
      <c r="C25" s="73"/>
      <c r="D25" s="73"/>
      <c r="E25" s="73"/>
      <c r="F25" s="75"/>
      <c r="H25" s="75"/>
    </row>
    <row r="26" spans="1:8">
      <c r="A26" s="74"/>
      <c r="B26" s="237" t="s">
        <v>923</v>
      </c>
      <c r="C26" s="238"/>
      <c r="D26" s="238"/>
      <c r="E26" s="239"/>
      <c r="F26" s="75"/>
      <c r="H26" s="75"/>
    </row>
    <row r="27" spans="1:8">
      <c r="A27" s="74"/>
      <c r="B27" s="237" t="s">
        <v>924</v>
      </c>
      <c r="C27" s="238"/>
      <c r="D27" s="238"/>
      <c r="E27" s="239"/>
      <c r="F27" s="75"/>
      <c r="H27" s="75"/>
    </row>
    <row r="28" spans="1:8">
      <c r="A28" s="74"/>
      <c r="B28" s="237" t="s">
        <v>925</v>
      </c>
      <c r="C28" s="238"/>
      <c r="D28" s="238"/>
      <c r="E28" s="239"/>
      <c r="F28" s="75"/>
      <c r="H28" s="75"/>
    </row>
    <row r="29" spans="1:8">
      <c r="B29" s="77"/>
      <c r="C29" s="77"/>
      <c r="D29" s="77"/>
      <c r="E29" s="77"/>
      <c r="H29" s="75"/>
    </row>
    <row r="30" spans="1:8">
      <c r="H30" s="75"/>
    </row>
    <row r="31" spans="1:8">
      <c r="A31" s="77"/>
      <c r="B31" s="77"/>
      <c r="C31" s="77"/>
      <c r="D31" s="77"/>
      <c r="E31" s="77"/>
      <c r="F31" s="77"/>
      <c r="G31" s="77"/>
    </row>
  </sheetData>
  <mergeCells count="21">
    <mergeCell ref="B24:E24"/>
    <mergeCell ref="B26:E26"/>
    <mergeCell ref="B27:E27"/>
    <mergeCell ref="B28:E28"/>
    <mergeCell ref="B16:E16"/>
    <mergeCell ref="B18:E18"/>
    <mergeCell ref="B19:E19"/>
    <mergeCell ref="B20:E20"/>
    <mergeCell ref="B22:E22"/>
    <mergeCell ref="B23:E23"/>
    <mergeCell ref="B15:E15"/>
    <mergeCell ref="B2:E2"/>
    <mergeCell ref="B3:E3"/>
    <mergeCell ref="B4:E4"/>
    <mergeCell ref="B7:E7"/>
    <mergeCell ref="B6:E6"/>
    <mergeCell ref="B9:E9"/>
    <mergeCell ref="B10:E10"/>
    <mergeCell ref="B11:E11"/>
    <mergeCell ref="B12:E12"/>
    <mergeCell ref="B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2025-05-27T20:38:55Z</dcterms:created>
  <dcterms:modified xsi:type="dcterms:W3CDTF">2025-08-13T15:28:07Z</dcterms:modified>
  <cp:category/>
  <cp:contentStatus/>
</cp:coreProperties>
</file>